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A78256B0-F255-493C-A0A1-7C19F17F1FFB}" xr6:coauthVersionLast="47" xr6:coauthVersionMax="47" xr10:uidLastSave="{00000000-0000-0000-0000-000000000000}"/>
  <bookViews>
    <workbookView xWindow="-110" yWindow="-110" windowWidth="19420" windowHeight="11500" activeTab="1" xr2:uid="{49E436E2-CBF8-4533-83C8-BBB8C3762C3E}"/>
  </bookViews>
  <sheets>
    <sheet name="pivot report" sheetId="2" r:id="rId1"/>
    <sheet name="dashboard" sheetId="1" r:id="rId2"/>
  </sheets>
  <definedNames>
    <definedName name="Slicer_Category">#N/A</definedName>
    <definedName name="Slicer_PaymentMode">#N/A</definedName>
    <definedName name="Slicer_Year">#N/A</definedName>
  </definedNames>
  <calcPr calcId="191029"/>
  <pivotCaches>
    <pivotCache cacheId="346" r:id="rId3"/>
    <pivotCache cacheId="1407" r:id="rId4"/>
    <pivotCache cacheId="1410" r:id="rId5"/>
    <pivotCache cacheId="1413" r:id="rId6"/>
    <pivotCache cacheId="1416" r:id="rId7"/>
    <pivotCache cacheId="1419" r:id="rId8"/>
    <pivotCache cacheId="1422" r:id="rId9"/>
    <pivotCache cacheId="1425" r:id="rId10"/>
    <pivotCache cacheId="1431" r:id="rId11"/>
    <pivotCache cacheId="1442" r:id="rId12"/>
    <pivotCache cacheId="1595" r:id="rId13"/>
    <pivotCache cacheId="1668" r:id="rId14"/>
    <pivotCache cacheId="1669" r:id="rId15"/>
  </pivotCaches>
  <extLst>
    <ext xmlns:x14="http://schemas.microsoft.com/office/spreadsheetml/2009/9/main" uri="{876F7934-8845-4945-9796-88D515C7AA90}">
      <x14:pivotCaches>
        <pivotCache cacheId="362" r:id="rId16"/>
        <pivotCache cacheId="105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set_a9c733f5-b928-43ac-8d9a-f07b5fd3e5ae" name="Sales Dataset" connection="Query - Sales Dataset"/>
        </x15:modelTables>
        <x15:extLst>
          <ext xmlns:x16="http://schemas.microsoft.com/office/spreadsheetml/2014/11/main" uri="{9835A34E-60A6-4A7C-AAB8-D5F71C897F49}">
            <x16:modelTimeGroupings>
              <x16:modelTimeGrouping tableName="Sales Dataset"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8AA57C-3D98-4495-AE27-71E0628AEA9F}" name="Query - Sales Dataset" description="Connection to the 'Sales Dataset' query in the workbook." type="100" refreshedVersion="8" minRefreshableVersion="5">
    <extLst>
      <ext xmlns:x15="http://schemas.microsoft.com/office/spreadsheetml/2010/11/main" uri="{DE250136-89BD-433C-8126-D09CA5730AF9}">
        <x15:connection id="94215440-be5d-428b-9868-a12f046532f3"/>
      </ext>
    </extLst>
  </connection>
  <connection id="2" xr16:uid="{EAB61281-E0C3-40F6-AC7D-2CCFF7AB82C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<sst xmlns="http://schemas.openxmlformats.org/spreadsheetml/2006/main" count="108" uniqueCount="56">
  <si>
    <t>Row Labels</t>
  </si>
  <si>
    <t>Grand Total</t>
  </si>
  <si>
    <t>Count of Order ID</t>
  </si>
  <si>
    <t>Sum of Amount</t>
  </si>
  <si>
    <t>No.of Customer</t>
  </si>
  <si>
    <t>Sum of Profit</t>
  </si>
  <si>
    <t>Sum of Quantity</t>
  </si>
  <si>
    <t>Electronics</t>
  </si>
  <si>
    <t>Furniture</t>
  </si>
  <si>
    <t>Office Supplies</t>
  </si>
  <si>
    <t>California</t>
  </si>
  <si>
    <t>Florida</t>
  </si>
  <si>
    <t>Illinois</t>
  </si>
  <si>
    <t>New York</t>
  </si>
  <si>
    <t>Ohio</t>
  </si>
  <si>
    <t>Texas</t>
  </si>
  <si>
    <t>Electronic Games</t>
  </si>
  <si>
    <t>Markers</t>
  </si>
  <si>
    <t>Printers</t>
  </si>
  <si>
    <t>Sofas</t>
  </si>
  <si>
    <t>Tables</t>
  </si>
  <si>
    <t>COD</t>
  </si>
  <si>
    <t>Credit Card</t>
  </si>
  <si>
    <t>Debit Card</t>
  </si>
  <si>
    <t>EMI</t>
  </si>
  <si>
    <t>UPI</t>
  </si>
  <si>
    <t>Mar</t>
  </si>
  <si>
    <t>Apr</t>
  </si>
  <si>
    <t>May</t>
  </si>
  <si>
    <t>Jun</t>
  </si>
  <si>
    <t>Jul</t>
  </si>
  <si>
    <t>Aug</t>
  </si>
  <si>
    <t>Sep</t>
  </si>
  <si>
    <t>Oct</t>
  </si>
  <si>
    <t>Nov</t>
  </si>
  <si>
    <t>Dec</t>
  </si>
  <si>
    <t>Jan</t>
  </si>
  <si>
    <t>Feb</t>
  </si>
  <si>
    <t>Average of Amount2</t>
  </si>
  <si>
    <t>August</t>
  </si>
  <si>
    <t>February</t>
  </si>
  <si>
    <t>July</t>
  </si>
  <si>
    <t>November</t>
  </si>
  <si>
    <t>Montly Sales Trend</t>
  </si>
  <si>
    <t>March</t>
  </si>
  <si>
    <t>April</t>
  </si>
  <si>
    <t>June</t>
  </si>
  <si>
    <t>October</t>
  </si>
  <si>
    <t>December</t>
  </si>
  <si>
    <t>January</t>
  </si>
  <si>
    <t>September</t>
  </si>
  <si>
    <t>State</t>
  </si>
  <si>
    <t>Sales</t>
  </si>
  <si>
    <t>Profit</t>
  </si>
  <si>
    <t>Orders</t>
  </si>
  <si>
    <t>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</si>
</sst>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_ * #,##0_ ;_ * \-#,##0_ ;_ * &quot;-&quot;??_ ;_ @_ "/>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169" fontId="0" fillId="0" borderId="0" xfId="0" applyNumberFormat="1"/>
    <xf numFmtId="0" fontId="1" fillId="0" borderId="0" xfId="0" applyFont="1"/>
  </cellXfs>
  <cellStyles count="1">
    <cellStyle name="Normal" xfId="0" builtinId="0"/>
  </cellStyles>
  <dxfs count="154">
    <dxf>
      <font>
        <b/>
      </font>
    </dxf>
    <dxf>
      <font>
        <b/>
      </font>
    </dxf>
    <dxf>
      <font>
        <b/>
      </font>
    </dxf>
    <dxf>
      <font>
        <b/>
      </font>
    </dxf>
    <dxf>
      <font>
        <b/>
      </font>
    </dxf>
    <dxf>
      <font>
        <sz val="11"/>
      </font>
    </dxf>
    <dxf>
      <font>
        <sz val="11"/>
      </font>
    </dxf>
    <dxf>
      <font>
        <sz val="11"/>
      </font>
    </dxf>
    <dxf>
      <font>
        <sz val="11"/>
      </font>
    </dxf>
    <dxf>
      <font>
        <sz val="11"/>
      </font>
    </dxf>
    <dxf>
      <font>
        <b/>
      </font>
    </dxf>
    <dxf>
      <font>
        <b/>
      </font>
    </dxf>
    <dxf>
      <font>
        <b/>
      </font>
    </dxf>
    <dxf>
      <font>
        <b/>
      </font>
    </dxf>
    <dxf>
      <font>
        <b/>
      </font>
    </dxf>
    <dxf>
      <font>
        <sz val="11"/>
      </font>
    </dxf>
    <dxf>
      <font>
        <sz val="11"/>
      </font>
    </dxf>
    <dxf>
      <font>
        <sz val="11"/>
      </font>
    </dxf>
    <dxf>
      <font>
        <sz val="11"/>
      </font>
    </dxf>
    <dxf>
      <font>
        <sz val="11"/>
      </font>
    </dxf>
    <dxf>
      <font>
        <b/>
      </font>
    </dxf>
    <dxf>
      <font>
        <b/>
      </font>
    </dxf>
    <dxf>
      <font>
        <b/>
      </font>
    </dxf>
    <dxf>
      <font>
        <b/>
      </font>
    </dxf>
    <dxf>
      <font>
        <b/>
      </font>
    </dxf>
    <dxf>
      <font>
        <sz val="11"/>
      </font>
    </dxf>
    <dxf>
      <font>
        <sz val="11"/>
      </font>
    </dxf>
    <dxf>
      <font>
        <sz val="11"/>
      </font>
    </dxf>
    <dxf>
      <font>
        <sz val="11"/>
      </font>
    </dxf>
    <dxf>
      <font>
        <sz val="11"/>
      </font>
    </dxf>
    <dxf>
      <font>
        <b/>
      </font>
    </dxf>
    <dxf>
      <font>
        <b/>
      </font>
    </dxf>
    <dxf>
      <font>
        <b/>
      </font>
    </dxf>
    <dxf>
      <font>
        <b/>
      </font>
    </dxf>
    <dxf>
      <font>
        <b/>
      </font>
    </dxf>
    <dxf>
      <font>
        <sz val="11"/>
      </font>
    </dxf>
    <dxf>
      <font>
        <sz val="11"/>
      </font>
    </dxf>
    <dxf>
      <font>
        <sz val="11"/>
      </font>
    </dxf>
    <dxf>
      <font>
        <sz val="11"/>
      </font>
    </dxf>
    <dxf>
      <font>
        <sz val="11"/>
      </font>
    </dxf>
    <dxf>
      <font>
        <sz val="11"/>
      </font>
    </dxf>
    <dxf>
      <font>
        <sz val="11"/>
      </font>
    </dxf>
    <dxf>
      <font>
        <sz val="11"/>
      </font>
    </dxf>
    <dxf>
      <font>
        <sz val="11"/>
      </font>
    </dxf>
    <dxf>
      <font>
        <sz val="12"/>
      </font>
    </dxf>
    <dxf>
      <font>
        <sz val="12"/>
      </font>
    </dxf>
    <dxf>
      <font>
        <sz val="12"/>
      </font>
    </dxf>
    <dxf>
      <font>
        <sz val="12"/>
      </font>
    </dxf>
    <dxf>
      <font>
        <sz val="12"/>
      </font>
    </dxf>
    <dxf>
      <font>
        <sz val="11"/>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1"/>
      </font>
    </dxf>
    <dxf>
      <font>
        <sz val="11"/>
      </font>
    </dxf>
    <dxf>
      <font>
        <sz val="11"/>
      </font>
    </dxf>
    <dxf>
      <font>
        <sz val="11"/>
      </font>
    </dxf>
    <dxf>
      <font>
        <sz val="11"/>
      </font>
    </dxf>
    <dxf>
      <font>
        <b/>
      </font>
    </dxf>
    <dxf>
      <font>
        <b/>
      </font>
    </dxf>
    <dxf>
      <font>
        <b/>
      </font>
    </dxf>
    <dxf>
      <font>
        <b/>
      </font>
    </dxf>
    <dxf>
      <font>
        <b/>
      </font>
    </dxf>
    <dxf>
      <font>
        <sz val="11"/>
      </font>
    </dxf>
    <dxf>
      <font>
        <sz val="11"/>
      </font>
    </dxf>
    <dxf>
      <font>
        <sz val="11"/>
      </font>
    </dxf>
    <dxf>
      <font>
        <sz val="11"/>
      </font>
    </dxf>
    <dxf>
      <font>
        <sz val="11"/>
      </font>
    </dxf>
    <dxf>
      <font>
        <b/>
      </font>
    </dxf>
    <dxf>
      <font>
        <b/>
      </font>
    </dxf>
    <dxf>
      <font>
        <b/>
      </font>
    </dxf>
    <dxf>
      <font>
        <b/>
      </font>
    </dxf>
    <dxf>
      <font>
        <b/>
      </font>
    </dxf>
    <dxf>
      <font>
        <sz val="11"/>
      </font>
    </dxf>
    <dxf>
      <font>
        <sz val="11"/>
      </font>
    </dxf>
    <dxf>
      <font>
        <sz val="11"/>
      </font>
    </dxf>
    <dxf>
      <font>
        <sz val="11"/>
      </font>
    </dxf>
    <dxf>
      <font>
        <sz val="11"/>
      </font>
    </dxf>
    <dxf>
      <font>
        <b/>
      </font>
    </dxf>
    <dxf>
      <font>
        <b/>
      </font>
    </dxf>
    <dxf>
      <font>
        <b/>
      </font>
    </dxf>
    <dxf>
      <font>
        <b/>
      </font>
    </dxf>
    <dxf>
      <font>
        <b/>
      </font>
    </dxf>
    <dxf>
      <font>
        <sz val="11"/>
      </font>
    </dxf>
    <dxf>
      <font>
        <sz val="11"/>
      </font>
    </dxf>
    <dxf>
      <font>
        <sz val="11"/>
      </font>
    </dxf>
    <dxf>
      <font>
        <sz val="11"/>
      </font>
    </dxf>
    <dxf>
      <font>
        <sz val="11"/>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2" formatCode="0.00"/>
    </dxf>
    <dxf>
      <numFmt numFmtId="169" formatCode="_ * #,##0_ ;_ * \-#,##0_ ;_ * &quot;-&quot;??_ ;_ @_ "/>
    </dxf>
    <dxf>
      <numFmt numFmtId="169" formatCode="_ * #,##0_ ;_ * \-#,##0_ ;_ * &quot;-&quot;??_ ;_ @_ "/>
    </dxf>
    <dxf>
      <border>
        <left style="thin">
          <color auto="1"/>
        </left>
        <right style="thin">
          <color auto="1"/>
        </right>
        <top style="thin">
          <color auto="1"/>
        </top>
        <bottom style="thin">
          <color auto="1"/>
        </bottom>
      </border>
    </dxf>
    <dxf>
      <border>
        <left style="thin">
          <color theme="9" tint="-0.24994659260841701"/>
        </left>
        <right style="thin">
          <color theme="9" tint="-0.24994659260841701"/>
        </right>
        <top style="thin">
          <color theme="9" tint="-0.24994659260841701"/>
        </top>
        <bottom style="thin">
          <color theme="9" tint="-0.24994659260841701"/>
        </bottom>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s>
  <tableStyles count="8" defaultTableStyle="TableStyleMedium2" defaultPivotStyle="PivotStyleLight16">
    <tableStyle name="my style" pivot="0" table="0" count="10" xr9:uid="{EC068D18-9337-4C0A-A2CC-61DA3EFCDF5F}">
      <tableStyleElement type="wholeTable" dxfId="151"/>
      <tableStyleElement type="headerRow" dxfId="150"/>
    </tableStyle>
    <tableStyle name="mystyle" pivot="0" table="0" count="10" xr9:uid="{71ECD8B5-C820-4101-972A-45BB73D7B211}">
      <tableStyleElement type="wholeTable" dxfId="153"/>
      <tableStyleElement type="headerRow" dxfId="152"/>
    </tableStyle>
    <tableStyle name="Slicer Style 1" pivot="0" table="0" count="1" xr9:uid="{5CCCC123-704C-4CEB-B3D3-01E2B03B8DF6}">
      <tableStyleElement type="wholeTable" dxfId="149"/>
    </tableStyle>
    <tableStyle name="Slicer Style 2" pivot="0" table="0" count="1" xr9:uid="{B5AE6D8C-823C-424B-B440-F5556F9E5AD4}">
      <tableStyleElement type="wholeTable" dxfId="148"/>
    </tableStyle>
    <tableStyle name="Slicer Style 3" pivot="0" table="0" count="2" xr9:uid="{0B023460-6D2B-4C6A-88EE-76FB48F9B034}"/>
    <tableStyle name="Slicer Style 4" pivot="0" table="0" count="1" xr9:uid="{DF40DF39-0C06-4CAF-A4C4-A91FC6A24E0B}"/>
    <tableStyle name="Slicer Style 5" pivot="0" table="0" count="0" xr9:uid="{EC833591-1F3C-40F6-924D-FEACF33E4C52}"/>
    <tableStyle name="Slicer Style 6" pivot="0" table="0" count="2" xr9:uid="{E69DB81D-DC34-432F-BB69-3C6FA588A6FF}"/>
  </tableStyles>
  <extLst>
    <ext xmlns:x14="http://schemas.microsoft.com/office/spreadsheetml/2009/9/main" uri="{46F421CA-312F-682f-3DD2-61675219B42D}">
      <x14:dxfs count="20">
        <dxf>
          <fill>
            <patternFill>
              <bgColor theme="9" tint="0.79998168889431442"/>
            </patternFill>
          </fill>
        </dxf>
        <dxf>
          <fill>
            <patternFill>
              <bgColor theme="9" tint="-0.24994659260841701"/>
            </patternFill>
          </fill>
        </dxf>
        <dxf>
          <fill>
            <patternFill>
              <bgColor theme="9" tint="0.79998168889431442"/>
            </patternFill>
          </fill>
        </dxf>
        <dxf>
          <fill>
            <patternFill>
              <bgColor theme="9" tint="0.7999816888943144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mystyle">
          <x14:slicerStyleElements>
            <x14:slicerStyleElement type="unselectedItemWithData" dxfId="19"/>
            <x14:slicerStyleElement type="unselectedItemWithNoData" dxfId="18"/>
            <x14:slicerStyleElement type="selectedItemWithData" dxfId="17"/>
            <x14:slicerStyleElement type="selectedItemWithNoData" dxfId="16"/>
            <x14:slicerStyleElement type="hoveredUnselectedItemWithData" dxfId="15"/>
            <x14:slicerStyleElement type="hoveredSelectedItemWithData" dxfId="14"/>
            <x14:slicerStyleElement type="hoveredUnselectedItemWithNoData" dxfId="13"/>
            <x14:slicerStyleElement type="hoveredSelectedItemWithNoData" dxfId="12"/>
          </x14:slicerStyleElements>
        </x14:slicerStyle>
        <x14:slicerStyle name="Slicer Style 1"/>
        <x14:slicerStyle name="Slicer Style 2"/>
        <x14:slicerStyle name="Slicer Style 3">
          <x14:slicerStyleElements>
            <x14:slicerStyleElement type="unselectedItemWithData" dxfId="3"/>
          </x14:slicerStyleElements>
        </x14:slicerStyle>
        <x14:slicerStyle name="Slicer Style 4">
          <x14:slicerStyleElements>
            <x14:slicerStyleElement type="unselectedItemWithData" dxfId="2"/>
          </x14:slicerStyleElements>
        </x14:slicerStyle>
        <x14:slicerStyle name="Slicer Style 5"/>
        <x14:slicerStyle name="Slicer Style 6">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microsoft.com/office/2017/06/relationships/rdRichValue" Target="richData/rdrichvalue.xml"/><Relationship Id="rId39" Type="http://schemas.openxmlformats.org/officeDocument/2006/relationships/customXml" Target="../customXml/item10.xml"/><Relationship Id="rId21" Type="http://schemas.openxmlformats.org/officeDocument/2006/relationships/theme" Target="theme/theme1.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sharedStrings" Target="sharedString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styles" Target="styles.xml"/><Relationship Id="rId28" Type="http://schemas.microsoft.com/office/2017/06/relationships/rdRichValueTypes" Target="richData/rdRichValueTypes.xml"/><Relationship Id="rId36" Type="http://schemas.openxmlformats.org/officeDocument/2006/relationships/customXml" Target="../customXml/item7.xml"/><Relationship Id="rId10" Type="http://schemas.openxmlformats.org/officeDocument/2006/relationships/pivotCacheDefinition" Target="pivotCache/pivotCacheDefinition8.xml"/><Relationship Id="rId19" Type="http://schemas.microsoft.com/office/2007/relationships/slicerCache" Target="slicerCaches/slicerCache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onnections" Target="connections.xml"/><Relationship Id="rId27" Type="http://schemas.microsoft.com/office/2017/06/relationships/rdRichValueStructure" Target="richData/rdrichvaluestructure.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heetMetadata" Target="metadata.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3.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report!PivotTable19</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1053397737047"/>
          <c:y val="0.305948021834694"/>
          <c:w val="0.83660795341758754"/>
          <c:h val="0.38793053475677503"/>
        </c:manualLayout>
      </c:layout>
      <c:lineChart>
        <c:grouping val="standard"/>
        <c:varyColors val="0"/>
        <c:ser>
          <c:idx val="0"/>
          <c:order val="0"/>
          <c:tx>
            <c:strRef>
              <c:f>'pivot report'!$E$27</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report'!$D$28:$D$40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report'!$E$28:$E$40</c:f>
              <c:numCache>
                <c:formatCode>General</c:formatCode>
                <c:ptCount val="12"/>
                <c:pt idx="0">
                  <c:v>47645</c:v>
                </c:pt>
                <c:pt idx="1">
                  <c:v>108414</c:v>
                </c:pt>
                <c:pt idx="2">
                  <c:v>119216</c:v>
                </c:pt>
                <c:pt idx="3">
                  <c:v>138052</c:v>
                </c:pt>
                <c:pt idx="4">
                  <c:v>117494</c:v>
                </c:pt>
                <c:pt idx="5">
                  <c:v>140745</c:v>
                </c:pt>
                <c:pt idx="6">
                  <c:v>129944</c:v>
                </c:pt>
                <c:pt idx="7">
                  <c:v>73384</c:v>
                </c:pt>
                <c:pt idx="8">
                  <c:v>84624</c:v>
                </c:pt>
                <c:pt idx="9">
                  <c:v>83105</c:v>
                </c:pt>
                <c:pt idx="10">
                  <c:v>60976</c:v>
                </c:pt>
                <c:pt idx="11">
                  <c:v>98879</c:v>
                </c:pt>
              </c:numCache>
            </c:numRef>
          </c:val>
          <c:smooth val="0"/>
          <c:extLst>
            <c:ext xmlns:c16="http://schemas.microsoft.com/office/drawing/2014/chart" uri="{C3380CC4-5D6E-409C-BE32-E72D297353CC}">
              <c16:uniqueId val="{00000000-A666-44A4-A289-50450C229A61}"/>
            </c:ext>
          </c:extLst>
        </c:ser>
        <c:dLbls>
          <c:showLegendKey val="0"/>
          <c:showVal val="0"/>
          <c:showCatName val="0"/>
          <c:showSerName val="0"/>
          <c:showPercent val="0"/>
          <c:showBubbleSize val="0"/>
        </c:dLbls>
        <c:marker val="1"/>
        <c:smooth val="0"/>
        <c:axId val="274328095"/>
        <c:axId val="135688271"/>
      </c:lineChart>
      <c:catAx>
        <c:axId val="27432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5688271"/>
        <c:crosses val="autoZero"/>
        <c:auto val="1"/>
        <c:lblAlgn val="ctr"/>
        <c:lblOffset val="100"/>
        <c:noMultiLvlLbl val="0"/>
      </c:catAx>
      <c:valAx>
        <c:axId val="135688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432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schemeClr>
      </a:solidFill>
      <a:round/>
    </a:ln>
    <a:effectLst>
      <a:outerShdw blurRad="50800" dist="50800" dir="5400000" algn="ctr" rotWithShape="0">
        <a:schemeClr val="accent6">
          <a:lumMod val="40000"/>
          <a:lumOff val="6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report!PivotTable17</c:name>
    <c:fmtId val="5"/>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4.4947725284339456E-2"/>
              <c:y val="-0.1879848352289297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dLbl>
          <c:idx val="0"/>
          <c:layout>
            <c:manualLayout>
              <c:x val="-4.4947725284339456E-2"/>
              <c:y val="-0.1879848352289297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dLbl>
          <c:idx val="0"/>
          <c:layout>
            <c:manualLayout>
              <c:x val="-9.8382821422131395E-2"/>
              <c:y val="-0.2594132970220828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770992366412214"/>
                  <c:h val="0.15857142857142856"/>
                </c:manualLayout>
              </c15:layout>
            </c:ext>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1018558932905E-2"/>
          <c:y val="0.22411569765900474"/>
          <c:w val="0.47865914765088952"/>
          <c:h val="0.72685277976616558"/>
        </c:manualLayout>
      </c:layout>
      <c:pieChart>
        <c:varyColors val="1"/>
        <c:ser>
          <c:idx val="0"/>
          <c:order val="0"/>
          <c:tx>
            <c:strRef>
              <c:f>'pivot report'!$H$12</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cat>
            <c:strRef>
              <c:f>'pivot report'!$G$13:$G$18</c:f>
              <c:strCache>
                <c:ptCount val="5"/>
                <c:pt idx="0">
                  <c:v>COD</c:v>
                </c:pt>
                <c:pt idx="1">
                  <c:v>Credit Card</c:v>
                </c:pt>
                <c:pt idx="2">
                  <c:v>Debit Card</c:v>
                </c:pt>
                <c:pt idx="3">
                  <c:v>EMI</c:v>
                </c:pt>
                <c:pt idx="4">
                  <c:v>UPI</c:v>
                </c:pt>
              </c:strCache>
            </c:strRef>
          </c:cat>
          <c:val>
            <c:numRef>
              <c:f>'pivot report'!$H$13:$H$18</c:f>
              <c:numCache>
                <c:formatCode>General</c:formatCode>
                <c:ptCount val="5"/>
                <c:pt idx="0">
                  <c:v>170286</c:v>
                </c:pt>
                <c:pt idx="1">
                  <c:v>295743</c:v>
                </c:pt>
                <c:pt idx="2">
                  <c:v>224002</c:v>
                </c:pt>
                <c:pt idx="3">
                  <c:v>258644</c:v>
                </c:pt>
                <c:pt idx="4">
                  <c:v>253803</c:v>
                </c:pt>
              </c:numCache>
            </c:numRef>
          </c:val>
          <c:extLst>
            <c:ext xmlns:c16="http://schemas.microsoft.com/office/drawing/2014/chart" uri="{C3380CC4-5D6E-409C-BE32-E72D297353CC}">
              <c16:uniqueId val="{00000007-777A-47F9-8DD0-12166698ED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50800" dist="50800" dir="5400000" algn="ctr" rotWithShape="0">
        <a:schemeClr val="accent6">
          <a:lumMod val="40000"/>
          <a:lumOff val="6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report!PivotTable11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pivotFmt>
      <c:pivotFmt>
        <c:idx val="6"/>
        <c:spPr>
          <a:solidFill>
            <a:schemeClr val="accent2"/>
          </a:solidFill>
          <a:ln>
            <a:noFill/>
          </a:ln>
          <a:effectLst/>
        </c:spPr>
      </c:pivotFmt>
      <c:pivotFmt>
        <c:idx val="7"/>
        <c:spPr>
          <a:solidFill>
            <a:schemeClr val="accent6">
              <a:lumMod val="75000"/>
            </a:schemeClr>
          </a:solidFill>
          <a:ln>
            <a:noFill/>
          </a:ln>
          <a:effectLst/>
        </c:spPr>
      </c:pivotFmt>
    </c:pivotFmts>
    <c:plotArea>
      <c:layout>
        <c:manualLayout>
          <c:layoutTarget val="inner"/>
          <c:xMode val="edge"/>
          <c:yMode val="edge"/>
          <c:x val="0.15686846521234027"/>
          <c:y val="4.2903115371448135E-2"/>
          <c:w val="0.8360568841205136"/>
          <c:h val="0.84802553355663501"/>
        </c:manualLayout>
      </c:layout>
      <c:barChart>
        <c:barDir val="col"/>
        <c:grouping val="clustered"/>
        <c:varyColors val="0"/>
        <c:ser>
          <c:idx val="0"/>
          <c:order val="0"/>
          <c:tx>
            <c:strRef>
              <c:f>'pivot report'!$B$3</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DF15-465A-A924-307FED86333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DF15-465A-A924-307FED863335}"/>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DF15-465A-A924-307FED863335}"/>
              </c:ext>
            </c:extLst>
          </c:dPt>
          <c:cat>
            <c:strRef>
              <c:f>'pivot report'!$A$4:$A$7</c:f>
              <c:strCache>
                <c:ptCount val="3"/>
                <c:pt idx="0">
                  <c:v>Electronics</c:v>
                </c:pt>
                <c:pt idx="1">
                  <c:v>Furniture</c:v>
                </c:pt>
                <c:pt idx="2">
                  <c:v>Office Supplies</c:v>
                </c:pt>
              </c:strCache>
            </c:strRef>
          </c:cat>
          <c:val>
            <c:numRef>
              <c:f>'pivot report'!$B$4:$B$7</c:f>
              <c:numCache>
                <c:formatCode>General</c:formatCode>
                <c:ptCount val="3"/>
                <c:pt idx="0">
                  <c:v>82112</c:v>
                </c:pt>
                <c:pt idx="1">
                  <c:v>114013</c:v>
                </c:pt>
                <c:pt idx="2">
                  <c:v>112211</c:v>
                </c:pt>
              </c:numCache>
            </c:numRef>
          </c:val>
          <c:extLst>
            <c:ext xmlns:c16="http://schemas.microsoft.com/office/drawing/2014/chart" uri="{C3380CC4-5D6E-409C-BE32-E72D297353CC}">
              <c16:uniqueId val="{00000000-DF15-465A-A924-307FED863335}"/>
            </c:ext>
          </c:extLst>
        </c:ser>
        <c:dLbls>
          <c:showLegendKey val="0"/>
          <c:showVal val="0"/>
          <c:showCatName val="0"/>
          <c:showSerName val="0"/>
          <c:showPercent val="0"/>
          <c:showBubbleSize val="0"/>
        </c:dLbls>
        <c:gapWidth val="219"/>
        <c:overlap val="-27"/>
        <c:axId val="274355935"/>
        <c:axId val="137793360"/>
      </c:barChart>
      <c:catAx>
        <c:axId val="27435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7793360"/>
        <c:crosses val="autoZero"/>
        <c:auto val="1"/>
        <c:lblAlgn val="ctr"/>
        <c:lblOffset val="100"/>
        <c:noMultiLvlLbl val="0"/>
      </c:catAx>
      <c:valAx>
        <c:axId val="13779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435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50800" dist="50800" dir="5400000" algn="ctr" rotWithShape="0">
        <a:schemeClr val="accent6">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report!PivotTable17</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1618618744561057"/>
              <c:y val="-6.859850009830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7.9893580213258958E-2"/>
              <c:y val="0.1701270515977416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9227696404793602E-2"/>
                  <c:h val="7.2532699167657547E-2"/>
                </c:manualLayout>
              </c15:layout>
            </c:ext>
          </c:extLst>
        </c:dLbl>
      </c:pivotFmt>
      <c:pivotFmt>
        <c:idx val="4"/>
        <c:spPr>
          <a:solidFill>
            <a:schemeClr val="accent3"/>
          </a:solidFill>
          <a:ln w="19050">
            <a:solidFill>
              <a:schemeClr val="lt1"/>
            </a:solidFill>
          </a:ln>
          <a:effectLst/>
        </c:spPr>
        <c:dLbl>
          <c:idx val="0"/>
          <c:layout>
            <c:manualLayout>
              <c:x val="-1.6086687566184768E-2"/>
              <c:y val="-0.180434241201419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0918774966711062"/>
              <c:y val="9.416611270796857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9227696404793602E-2"/>
                  <c:h val="9.631391200951249E-2"/>
                </c:manualLayout>
              </c15:layout>
            </c:ext>
          </c:extLst>
        </c:dLbl>
      </c:pivotFmt>
      <c:pivotFmt>
        <c:idx val="6"/>
        <c:spPr>
          <a:solidFill>
            <a:schemeClr val="accent1"/>
          </a:solidFill>
          <a:ln w="19050">
            <a:solidFill>
              <a:schemeClr val="lt1"/>
            </a:solidFill>
          </a:ln>
          <a:effectLst/>
        </c:spPr>
        <c:dLbl>
          <c:idx val="0"/>
          <c:layout>
            <c:manualLayout>
              <c:x val="-5.5925432756324903E-2"/>
              <c:y val="0.177821491100770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1890812250332887E-2"/>
                  <c:h val="9.2746730083234238E-2"/>
                </c:manualLayout>
              </c15:layout>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5925432756324903E-2"/>
              <c:y val="0.177821491100770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1890812250332887E-2"/>
                  <c:h val="9.2746730083234238E-2"/>
                </c:manualLayout>
              </c15:layout>
            </c:ext>
          </c:extLst>
        </c:dLbl>
      </c:pivotFmt>
      <c:pivotFmt>
        <c:idx val="9"/>
        <c:spPr>
          <a:solidFill>
            <a:schemeClr val="accent1"/>
          </a:solidFill>
          <a:ln w="19050">
            <a:solidFill>
              <a:schemeClr val="lt1"/>
            </a:solidFill>
          </a:ln>
          <a:effectLst/>
        </c:spPr>
        <c:dLbl>
          <c:idx val="0"/>
          <c:layout>
            <c:manualLayout>
              <c:x val="-0.10918774966711062"/>
              <c:y val="9.416611270796857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9227696404793602E-2"/>
                  <c:h val="9.631391200951249E-2"/>
                </c:manualLayout>
              </c15:layout>
            </c:ext>
          </c:extLst>
        </c:dLbl>
      </c:pivotFmt>
      <c:pivotFmt>
        <c:idx val="10"/>
        <c:spPr>
          <a:solidFill>
            <a:schemeClr val="accent1"/>
          </a:solidFill>
          <a:ln w="19050">
            <a:solidFill>
              <a:schemeClr val="lt1"/>
            </a:solidFill>
          </a:ln>
          <a:effectLst/>
        </c:spPr>
        <c:dLbl>
          <c:idx val="0"/>
          <c:layout>
            <c:manualLayout>
              <c:x val="-1.6086687566184768E-2"/>
              <c:y val="-0.180434241201419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618618744561057"/>
              <c:y val="-6.859850009830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7.9893580213258958E-2"/>
              <c:y val="0.1701270515977416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9227696404793602E-2"/>
                  <c:h val="7.2532699167657547E-2"/>
                </c:manualLayout>
              </c15:layout>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5925432756324903E-2"/>
              <c:y val="0.177821491100770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1890812250332887E-2"/>
                  <c:h val="9.2746730083234238E-2"/>
                </c:manualLayout>
              </c15:layout>
            </c:ext>
          </c:extLst>
        </c:dLbl>
      </c:pivotFmt>
      <c:pivotFmt>
        <c:idx val="15"/>
        <c:spPr>
          <a:solidFill>
            <a:schemeClr val="accent1"/>
          </a:solidFill>
          <a:ln w="19050">
            <a:solidFill>
              <a:schemeClr val="lt1"/>
            </a:solidFill>
          </a:ln>
          <a:effectLst/>
        </c:spPr>
        <c:dLbl>
          <c:idx val="0"/>
          <c:layout>
            <c:manualLayout>
              <c:x val="-0.10918774966711062"/>
              <c:y val="9.416611270796857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9227696404793602E-2"/>
                  <c:h val="9.631391200951249E-2"/>
                </c:manualLayout>
              </c15:layout>
            </c:ext>
          </c:extLst>
        </c:dLbl>
      </c:pivotFmt>
      <c:pivotFmt>
        <c:idx val="16"/>
        <c:spPr>
          <a:solidFill>
            <a:schemeClr val="accent1"/>
          </a:solidFill>
          <a:ln w="19050">
            <a:solidFill>
              <a:schemeClr val="lt1"/>
            </a:solidFill>
          </a:ln>
          <a:effectLst/>
        </c:spPr>
        <c:dLbl>
          <c:idx val="0"/>
          <c:layout>
            <c:manualLayout>
              <c:x val="-1.6086687566184768E-2"/>
              <c:y val="-0.180434241201419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1618618744561057"/>
              <c:y val="-6.859850009830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7.9893580213258958E-2"/>
              <c:y val="0.1701270515977416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9227696404793602E-2"/>
                  <c:h val="7.2532699167657547E-2"/>
                </c:manualLayout>
              </c15:layout>
            </c:ext>
          </c:extLst>
        </c:dLbl>
      </c:pivotFmt>
    </c:pivotFmts>
    <c:plotArea>
      <c:layout>
        <c:manualLayout>
          <c:layoutTarget val="inner"/>
          <c:xMode val="edge"/>
          <c:yMode val="edge"/>
          <c:x val="0.1991892204339058"/>
          <c:y val="0.30615564221664721"/>
          <c:w val="0.35850072574533404"/>
          <c:h val="0.6444602489204978"/>
        </c:manualLayout>
      </c:layout>
      <c:pieChart>
        <c:varyColors val="1"/>
        <c:ser>
          <c:idx val="0"/>
          <c:order val="0"/>
          <c:tx>
            <c:strRef>
              <c:f>'pivot report'!$H$12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33-4DC0-B70D-CA102DC435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33-4DC0-B70D-CA102DC435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33-4DC0-B70D-CA102DC435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33-4DC0-B70D-CA102DC435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333-4DC0-B70D-CA102DC4350E}"/>
              </c:ext>
            </c:extLst>
          </c:dPt>
          <c:dLbls>
            <c:dLbl>
              <c:idx val="0"/>
              <c:layout>
                <c:manualLayout>
                  <c:x val="-5.5925432756324903E-2"/>
                  <c:y val="0.177821491100770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1890812250332887E-2"/>
                      <c:h val="9.2746730083234238E-2"/>
                    </c:manualLayout>
                  </c15:layout>
                </c:ext>
                <c:ext xmlns:c16="http://schemas.microsoft.com/office/drawing/2014/chart" uri="{C3380CC4-5D6E-409C-BE32-E72D297353CC}">
                  <c16:uniqueId val="{00000001-7333-4DC0-B70D-CA102DC4350E}"/>
                </c:ext>
              </c:extLst>
            </c:dLbl>
            <c:dLbl>
              <c:idx val="1"/>
              <c:layout>
                <c:manualLayout>
                  <c:x val="-0.10918774966711062"/>
                  <c:y val="9.416611270796857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9227696404793602E-2"/>
                      <c:h val="9.631391200951249E-2"/>
                    </c:manualLayout>
                  </c15:layout>
                </c:ext>
                <c:ext xmlns:c16="http://schemas.microsoft.com/office/drawing/2014/chart" uri="{C3380CC4-5D6E-409C-BE32-E72D297353CC}">
                  <c16:uniqueId val="{00000003-7333-4DC0-B70D-CA102DC4350E}"/>
                </c:ext>
              </c:extLst>
            </c:dLbl>
            <c:dLbl>
              <c:idx val="2"/>
              <c:layout>
                <c:manualLayout>
                  <c:x val="-1.6086687566184768E-2"/>
                  <c:y val="-0.180434241201419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333-4DC0-B70D-CA102DC4350E}"/>
                </c:ext>
              </c:extLst>
            </c:dLbl>
            <c:dLbl>
              <c:idx val="3"/>
              <c:layout>
                <c:manualLayout>
                  <c:x val="0.11618618744561057"/>
                  <c:y val="-6.859850009830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333-4DC0-B70D-CA102DC4350E}"/>
                </c:ext>
              </c:extLst>
            </c:dLbl>
            <c:dLbl>
              <c:idx val="4"/>
              <c:layout>
                <c:manualLayout>
                  <c:x val="7.9893580213258958E-2"/>
                  <c:y val="0.1701270515977416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9227696404793602E-2"/>
                      <c:h val="7.2532699167657547E-2"/>
                    </c:manualLayout>
                  </c15:layout>
                </c:ext>
                <c:ext xmlns:c16="http://schemas.microsoft.com/office/drawing/2014/chart" uri="{C3380CC4-5D6E-409C-BE32-E72D297353CC}">
                  <c16:uniqueId val="{00000009-7333-4DC0-B70D-CA102DC435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report'!$G$13:$G$18</c:f>
              <c:strCache>
                <c:ptCount val="5"/>
                <c:pt idx="0">
                  <c:v>COD</c:v>
                </c:pt>
                <c:pt idx="1">
                  <c:v>Credit Card</c:v>
                </c:pt>
                <c:pt idx="2">
                  <c:v>Debit Card</c:v>
                </c:pt>
                <c:pt idx="3">
                  <c:v>EMI</c:v>
                </c:pt>
                <c:pt idx="4">
                  <c:v>UPI</c:v>
                </c:pt>
              </c:strCache>
            </c:strRef>
          </c:cat>
          <c:val>
            <c:numRef>
              <c:f>'pivot report'!$H$13:$H$18</c:f>
              <c:numCache>
                <c:formatCode>General</c:formatCode>
                <c:ptCount val="5"/>
                <c:pt idx="0">
                  <c:v>170286</c:v>
                </c:pt>
                <c:pt idx="1">
                  <c:v>295743</c:v>
                </c:pt>
                <c:pt idx="2">
                  <c:v>224002</c:v>
                </c:pt>
                <c:pt idx="3">
                  <c:v>258644</c:v>
                </c:pt>
                <c:pt idx="4">
                  <c:v>253803</c:v>
                </c:pt>
              </c:numCache>
            </c:numRef>
          </c:val>
          <c:extLst>
            <c:ext xmlns:c16="http://schemas.microsoft.com/office/drawing/2014/chart" uri="{C3380CC4-5D6E-409C-BE32-E72D297353CC}">
              <c16:uniqueId val="{0000000A-7333-4DC0-B70D-CA102DC4350E}"/>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540616246498594"/>
          <c:y val="0.53811315252260139"/>
          <c:w val="0.18175765645805592"/>
          <c:h val="0.4618869549748612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schemeClr>
      </a:solidFill>
      <a:round/>
    </a:ln>
    <a:effectLst>
      <a:outerShdw blurRad="50800" dist="50800" dir="5400000" algn="ctr" rotWithShape="0">
        <a:schemeClr val="accent6">
          <a:lumMod val="60000"/>
          <a:lumOff val="4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report!PivotTable27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2"/>
          </a:solidFill>
          <a:ln>
            <a:noFill/>
          </a:ln>
          <a:effectLst/>
        </c:spPr>
      </c:pivotFmt>
      <c:pivotFmt>
        <c:idx val="3"/>
        <c:spPr>
          <a:solidFill>
            <a:schemeClr val="accent5"/>
          </a:solidFill>
          <a:ln>
            <a:noFill/>
          </a:ln>
          <a:effectLst/>
        </c:spPr>
      </c:pivotFmt>
      <c:pivotFmt>
        <c:idx val="4"/>
        <c:spPr>
          <a:solidFill>
            <a:schemeClr val="accent3"/>
          </a:solidFill>
          <a:ln>
            <a:noFill/>
          </a:ln>
          <a:effectLst/>
        </c:spPr>
      </c:pivotFmt>
      <c:pivotFmt>
        <c:idx val="5"/>
        <c:spPr>
          <a:solidFill>
            <a:schemeClr val="tx2">
              <a:lumMod val="90000"/>
              <a:lumOff val="10000"/>
            </a:schemeClr>
          </a:solidFill>
          <a:ln>
            <a:noFill/>
          </a:ln>
          <a:effectLst/>
        </c:spPr>
        <c:dLbl>
          <c:idx val="0"/>
          <c:layout>
            <c:manualLayout>
              <c:x val="-1.1111111111111112E-2"/>
              <c:y val="4.914004914004913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a:noFill/>
          </a:ln>
          <a:effectLst/>
        </c:spPr>
        <c:dLbl>
          <c:idx val="0"/>
          <c:layout>
            <c:manualLayout>
              <c:x val="-1.1111111111111112E-2"/>
              <c:y val="4.914004914004913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pivotFmt>
      <c:pivotFmt>
        <c:idx val="9"/>
        <c:spPr>
          <a:solidFill>
            <a:schemeClr val="accent5"/>
          </a:solidFill>
          <a:ln>
            <a:noFill/>
          </a:ln>
          <a:effectLst/>
        </c:spPr>
      </c:pivotFmt>
      <c:pivotFmt>
        <c:idx val="10"/>
        <c:spPr>
          <a:solidFill>
            <a:schemeClr val="accent2"/>
          </a:solidFill>
          <a:ln>
            <a:noFill/>
          </a:ln>
          <a:effectLst/>
        </c:spPr>
      </c:pivotFmt>
      <c:pivotFmt>
        <c:idx val="11"/>
        <c:spPr>
          <a:solidFill>
            <a:schemeClr val="accent6"/>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90000"/>
              <a:lumOff val="10000"/>
            </a:schemeClr>
          </a:solidFill>
          <a:ln>
            <a:noFill/>
          </a:ln>
          <a:effectLst/>
        </c:spPr>
        <c:dLbl>
          <c:idx val="0"/>
          <c:layout>
            <c:manualLayout>
              <c:x val="-1.1111111111111112E-2"/>
              <c:y val="4.914004914004913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pivotFmt>
      <c:pivotFmt>
        <c:idx val="15"/>
        <c:spPr>
          <a:solidFill>
            <a:schemeClr val="accent5"/>
          </a:solidFill>
          <a:ln>
            <a:noFill/>
          </a:ln>
          <a:effectLst/>
        </c:spPr>
      </c:pivotFmt>
      <c:pivotFmt>
        <c:idx val="16"/>
        <c:spPr>
          <a:solidFill>
            <a:schemeClr val="accent2"/>
          </a:solidFill>
          <a:ln>
            <a:noFill/>
          </a:ln>
          <a:effectLst/>
        </c:spPr>
      </c:pivotFmt>
      <c:pivotFmt>
        <c:idx val="17"/>
        <c:spPr>
          <a:solidFill>
            <a:schemeClr val="accent6"/>
          </a:solidFill>
          <a:ln>
            <a:noFill/>
          </a:ln>
          <a:effectLst/>
        </c:spPr>
      </c:pivotFmt>
    </c:pivotFmts>
    <c:plotArea>
      <c:layout>
        <c:manualLayout>
          <c:layoutTarget val="inner"/>
          <c:xMode val="edge"/>
          <c:yMode val="edge"/>
          <c:x val="0.23262379702537184"/>
          <c:y val="8.8235294117647065E-2"/>
          <c:w val="0.70715398075240599"/>
          <c:h val="0.79930430754979154"/>
        </c:manualLayout>
      </c:layout>
      <c:barChart>
        <c:barDir val="bar"/>
        <c:grouping val="clustered"/>
        <c:varyColors val="0"/>
        <c:ser>
          <c:idx val="0"/>
          <c:order val="0"/>
          <c:tx>
            <c:strRef>
              <c:f>'pivot report'!$H$27</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4E2A-4D80-886D-66AA3CDB9E6A}"/>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4E2A-4D80-886D-66AA3CDB9E6A}"/>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4E2A-4D80-886D-66AA3CDB9E6A}"/>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7-4E2A-4D80-886D-66AA3CDB9E6A}"/>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9-4E2A-4D80-886D-66AA3CDB9E6A}"/>
              </c:ext>
            </c:extLst>
          </c:dPt>
          <c:dLbls>
            <c:dLbl>
              <c:idx val="0"/>
              <c:layout>
                <c:manualLayout>
                  <c:x val="-1.1111111111111112E-2"/>
                  <c:y val="4.914004914004913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2A-4D80-886D-66AA3CDB9E6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report'!$G$28:$G$33</c:f>
              <c:strCache>
                <c:ptCount val="5"/>
                <c:pt idx="0">
                  <c:v>Electronic Games</c:v>
                </c:pt>
                <c:pt idx="1">
                  <c:v>Markers</c:v>
                </c:pt>
                <c:pt idx="2">
                  <c:v>Printers</c:v>
                </c:pt>
                <c:pt idx="3">
                  <c:v>Sofas</c:v>
                </c:pt>
                <c:pt idx="4">
                  <c:v>Tables</c:v>
                </c:pt>
              </c:strCache>
            </c:strRef>
          </c:cat>
          <c:val>
            <c:numRef>
              <c:f>'pivot report'!$H$28:$H$33</c:f>
              <c:numCache>
                <c:formatCode>General</c:formatCode>
                <c:ptCount val="5"/>
                <c:pt idx="0">
                  <c:v>565092</c:v>
                </c:pt>
                <c:pt idx="1">
                  <c:v>627875</c:v>
                </c:pt>
                <c:pt idx="2">
                  <c:v>566359</c:v>
                </c:pt>
                <c:pt idx="3">
                  <c:v>568367</c:v>
                </c:pt>
                <c:pt idx="4">
                  <c:v>625177</c:v>
                </c:pt>
              </c:numCache>
            </c:numRef>
          </c:val>
          <c:extLst>
            <c:ext xmlns:c16="http://schemas.microsoft.com/office/drawing/2014/chart" uri="{C3380CC4-5D6E-409C-BE32-E72D297353CC}">
              <c16:uniqueId val="{0000000A-4E2A-4D80-886D-66AA3CDB9E6A}"/>
            </c:ext>
          </c:extLst>
        </c:ser>
        <c:dLbls>
          <c:showLegendKey val="0"/>
          <c:showVal val="0"/>
          <c:showCatName val="0"/>
          <c:showSerName val="0"/>
          <c:showPercent val="0"/>
          <c:showBubbleSize val="0"/>
        </c:dLbls>
        <c:gapWidth val="182"/>
        <c:axId val="274335519"/>
        <c:axId val="137803920"/>
      </c:barChart>
      <c:catAx>
        <c:axId val="27433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7803920"/>
        <c:crosses val="autoZero"/>
        <c:auto val="1"/>
        <c:lblAlgn val="ctr"/>
        <c:lblOffset val="100"/>
        <c:noMultiLvlLbl val="0"/>
      </c:catAx>
      <c:valAx>
        <c:axId val="137803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433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schemeClr>
      </a:solidFill>
      <a:round/>
    </a:ln>
    <a:effectLst>
      <a:outerShdw blurRad="50800" dist="50800" dir="5400000" algn="ctr" rotWithShape="0">
        <a:schemeClr val="accent6">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33017</xdr:colOff>
      <xdr:row>0</xdr:row>
      <xdr:rowOff>12700</xdr:rowOff>
    </xdr:from>
    <xdr:to>
      <xdr:col>1</xdr:col>
      <xdr:colOff>572283</xdr:colOff>
      <xdr:row>35</xdr:row>
      <xdr:rowOff>109754</xdr:rowOff>
    </xdr:to>
    <xdr:sp macro="" textlink="">
      <xdr:nvSpPr>
        <xdr:cNvPr id="7" name="Rectangle: Single Corner Rounded 6">
          <a:extLst>
            <a:ext uri="{FF2B5EF4-FFF2-40B4-BE49-F238E27FC236}">
              <a16:creationId xmlns:a16="http://schemas.microsoft.com/office/drawing/2014/main" id="{5C71306F-9BB6-FAF0-4E4C-B799A7AC6F27}"/>
            </a:ext>
          </a:extLst>
        </xdr:cNvPr>
        <xdr:cNvSpPr/>
      </xdr:nvSpPr>
      <xdr:spPr>
        <a:xfrm flipH="1">
          <a:off x="33017" y="12700"/>
          <a:ext cx="1150747" cy="6407856"/>
        </a:xfrm>
        <a:prstGeom prst="round1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601365</xdr:colOff>
      <xdr:row>0</xdr:row>
      <xdr:rowOff>57150</xdr:rowOff>
    </xdr:from>
    <xdr:to>
      <xdr:col>19</xdr:col>
      <xdr:colOff>349709</xdr:colOff>
      <xdr:row>4</xdr:row>
      <xdr:rowOff>101600</xdr:rowOff>
    </xdr:to>
    <xdr:sp macro="" textlink="">
      <xdr:nvSpPr>
        <xdr:cNvPr id="8" name="Rectangle: Single Corner Rounded 7">
          <a:extLst>
            <a:ext uri="{FF2B5EF4-FFF2-40B4-BE49-F238E27FC236}">
              <a16:creationId xmlns:a16="http://schemas.microsoft.com/office/drawing/2014/main" id="{AED306C1-DAEE-D40E-667C-DC0CB0967167}"/>
            </a:ext>
          </a:extLst>
        </xdr:cNvPr>
        <xdr:cNvSpPr/>
      </xdr:nvSpPr>
      <xdr:spPr>
        <a:xfrm flipH="1">
          <a:off x="1208756" y="57150"/>
          <a:ext cx="10847040" cy="780682"/>
        </a:xfrm>
        <a:prstGeom prst="round1Rect">
          <a:avLst>
            <a:gd name="adj" fmla="val 38168"/>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aseline="0">
              <a:solidFill>
                <a:schemeClr val="tx1"/>
              </a:solidFill>
            </a:rPr>
            <a:t>                                                 </a:t>
          </a:r>
          <a:r>
            <a:rPr lang="en-IN" sz="2800" b="1" baseline="0">
              <a:solidFill>
                <a:schemeClr val="tx1"/>
              </a:solidFill>
            </a:rPr>
            <a:t>SALES  DASHBOARD</a:t>
          </a:r>
        </a:p>
        <a:p>
          <a:pPr algn="l"/>
          <a:r>
            <a:rPr lang="en-IN" sz="1200" b="1">
              <a:solidFill>
                <a:schemeClr val="accent6">
                  <a:lumMod val="75000"/>
                </a:schemeClr>
              </a:solidFill>
            </a:rPr>
            <a:t>   </a:t>
          </a:r>
          <a:r>
            <a:rPr lang="en-IN" sz="1200" b="1" baseline="0">
              <a:solidFill>
                <a:schemeClr val="accent6">
                  <a:lumMod val="75000"/>
                </a:schemeClr>
              </a:solidFill>
            </a:rPr>
            <a:t>   </a:t>
          </a:r>
          <a:r>
            <a:rPr lang="en-IN" sz="1200" b="1">
              <a:solidFill>
                <a:schemeClr val="accent6">
                  <a:lumMod val="75000"/>
                </a:schemeClr>
              </a:solidFill>
            </a:rPr>
            <a:t>                                                                                                                       </a:t>
          </a:r>
          <a:r>
            <a:rPr lang="en-IN" sz="1050" b="1">
              <a:solidFill>
                <a:schemeClr val="accent6">
                  <a:lumMod val="75000"/>
                </a:schemeClr>
              </a:solidFill>
            </a:rPr>
            <a:t>Track Sales | Understand</a:t>
          </a:r>
          <a:r>
            <a:rPr lang="en-IN" sz="1050" b="1" baseline="0">
              <a:solidFill>
                <a:schemeClr val="accent6">
                  <a:lumMod val="75000"/>
                </a:schemeClr>
              </a:solidFill>
            </a:rPr>
            <a:t> Customer | Drive Growth</a:t>
          </a:r>
          <a:endParaRPr lang="en-IN" sz="1050" b="1">
            <a:solidFill>
              <a:schemeClr val="accent6">
                <a:lumMod val="75000"/>
              </a:schemeClr>
            </a:solidFill>
          </a:endParaRPr>
        </a:p>
        <a:p>
          <a:pPr algn="l"/>
          <a:r>
            <a:rPr lang="en-IN" sz="2400" b="1">
              <a:solidFill>
                <a:schemeClr val="tx1"/>
              </a:solidFill>
            </a:rPr>
            <a:t>                                                            </a:t>
          </a:r>
        </a:p>
      </xdr:txBody>
    </xdr:sp>
    <xdr:clientData/>
  </xdr:twoCellAnchor>
  <xdr:twoCellAnchor editAs="oneCell">
    <xdr:from>
      <xdr:col>3</xdr:col>
      <xdr:colOff>419561</xdr:colOff>
      <xdr:row>0</xdr:row>
      <xdr:rowOff>29400</xdr:rowOff>
    </xdr:from>
    <xdr:to>
      <xdr:col>5</xdr:col>
      <xdr:colOff>389189</xdr:colOff>
      <xdr:row>4</xdr:row>
      <xdr:rowOff>134426</xdr:rowOff>
    </xdr:to>
    <xdr:pic>
      <xdr:nvPicPr>
        <xdr:cNvPr id="10" name="Picture 9">
          <a:extLst>
            <a:ext uri="{FF2B5EF4-FFF2-40B4-BE49-F238E27FC236}">
              <a16:creationId xmlns:a16="http://schemas.microsoft.com/office/drawing/2014/main" id="{7BA0B8C5-3AD0-7A1D-5E75-5A175659AE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1735" y="29400"/>
          <a:ext cx="1184411" cy="841258"/>
        </a:xfrm>
        <a:prstGeom prst="rect">
          <a:avLst/>
        </a:prstGeom>
      </xdr:spPr>
    </xdr:pic>
    <xdr:clientData/>
  </xdr:twoCellAnchor>
  <xdr:twoCellAnchor>
    <xdr:from>
      <xdr:col>2</xdr:col>
      <xdr:colOff>57150</xdr:colOff>
      <xdr:row>5</xdr:row>
      <xdr:rowOff>19050</xdr:rowOff>
    </xdr:from>
    <xdr:to>
      <xdr:col>4</xdr:col>
      <xdr:colOff>546100</xdr:colOff>
      <xdr:row>8</xdr:row>
      <xdr:rowOff>177800</xdr:rowOff>
    </xdr:to>
    <xdr:sp macro="" textlink="">
      <xdr:nvSpPr>
        <xdr:cNvPr id="16" name="Rectangle: Rounded Corners 15">
          <a:extLst>
            <a:ext uri="{FF2B5EF4-FFF2-40B4-BE49-F238E27FC236}">
              <a16:creationId xmlns:a16="http://schemas.microsoft.com/office/drawing/2014/main" id="{8C5A451C-9C4F-1E20-16F9-3877076465F6}"/>
            </a:ext>
          </a:extLst>
        </xdr:cNvPr>
        <xdr:cNvSpPr/>
      </xdr:nvSpPr>
      <xdr:spPr>
        <a:xfrm>
          <a:off x="1276350" y="939800"/>
          <a:ext cx="1708150" cy="711200"/>
        </a:xfrm>
        <a:prstGeom prst="roundRect">
          <a:avLst/>
        </a:prstGeom>
        <a:solidFill>
          <a:schemeClr val="bg1"/>
        </a:solidFill>
        <a:ln w="34925">
          <a:solidFill>
            <a:schemeClr val="accent6">
              <a:lumMod val="75000"/>
            </a:schemeClr>
          </a:solidFill>
        </a:ln>
        <a:effectLst>
          <a:outerShdw blurRad="50800" dist="50800" dir="5400000" algn="ctr" rotWithShape="0">
            <a:schemeClr val="accent3">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oneCellAnchor>
    <xdr:from>
      <xdr:col>3</xdr:col>
      <xdr:colOff>31750</xdr:colOff>
      <xdr:row>5</xdr:row>
      <xdr:rowOff>6350</xdr:rowOff>
    </xdr:from>
    <xdr:ext cx="1200150" cy="349250"/>
    <xdr:sp macro="" textlink="">
      <xdr:nvSpPr>
        <xdr:cNvPr id="18" name="TextBox 17">
          <a:extLst>
            <a:ext uri="{FF2B5EF4-FFF2-40B4-BE49-F238E27FC236}">
              <a16:creationId xmlns:a16="http://schemas.microsoft.com/office/drawing/2014/main" id="{4F51D896-F61C-AC06-C632-720B126C2DA4}"/>
            </a:ext>
          </a:extLst>
        </xdr:cNvPr>
        <xdr:cNvSpPr txBox="1"/>
      </xdr:nvSpPr>
      <xdr:spPr>
        <a:xfrm>
          <a:off x="1860550" y="927100"/>
          <a:ext cx="1200150"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Total Sales</a:t>
          </a:r>
        </a:p>
      </xdr:txBody>
    </xdr:sp>
    <xdr:clientData/>
  </xdr:oneCellAnchor>
  <xdr:twoCellAnchor editAs="oneCell">
    <xdr:from>
      <xdr:col>14</xdr:col>
      <xdr:colOff>609417</xdr:colOff>
      <xdr:row>0</xdr:row>
      <xdr:rowOff>84542</xdr:rowOff>
    </xdr:from>
    <xdr:to>
      <xdr:col>16</xdr:col>
      <xdr:colOff>487754</xdr:colOff>
      <xdr:row>4</xdr:row>
      <xdr:rowOff>122860</xdr:rowOff>
    </xdr:to>
    <xdr:pic>
      <xdr:nvPicPr>
        <xdr:cNvPr id="20" name="Picture 19">
          <a:extLst>
            <a:ext uri="{FF2B5EF4-FFF2-40B4-BE49-F238E27FC236}">
              <a16:creationId xmlns:a16="http://schemas.microsoft.com/office/drawing/2014/main" id="{B3BBE818-4FBA-F563-31A9-9E9AC3B5CE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12895" y="84542"/>
          <a:ext cx="1304787" cy="774550"/>
        </a:xfrm>
        <a:prstGeom prst="rect">
          <a:avLst/>
        </a:prstGeom>
      </xdr:spPr>
    </xdr:pic>
    <xdr:clientData/>
  </xdr:twoCellAnchor>
  <xdr:twoCellAnchor editAs="oneCell">
    <xdr:from>
      <xdr:col>2</xdr:col>
      <xdr:colOff>165100</xdr:colOff>
      <xdr:row>5</xdr:row>
      <xdr:rowOff>44450</xdr:rowOff>
    </xdr:from>
    <xdr:to>
      <xdr:col>3</xdr:col>
      <xdr:colOff>95250</xdr:colOff>
      <xdr:row>8</xdr:row>
      <xdr:rowOff>31750</xdr:rowOff>
    </xdr:to>
    <xdr:pic>
      <xdr:nvPicPr>
        <xdr:cNvPr id="22" name="Picture 21">
          <a:extLst>
            <a:ext uri="{FF2B5EF4-FFF2-40B4-BE49-F238E27FC236}">
              <a16:creationId xmlns:a16="http://schemas.microsoft.com/office/drawing/2014/main" id="{B2903188-83AD-FE99-4594-77D78F3D66D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84300" y="965200"/>
          <a:ext cx="539750" cy="539750"/>
        </a:xfrm>
        <a:prstGeom prst="rect">
          <a:avLst/>
        </a:prstGeom>
      </xdr:spPr>
    </xdr:pic>
    <xdr:clientData/>
  </xdr:twoCellAnchor>
  <xdr:oneCellAnchor>
    <xdr:from>
      <xdr:col>3</xdr:col>
      <xdr:colOff>169960</xdr:colOff>
      <xdr:row>6</xdr:row>
      <xdr:rowOff>94858</xdr:rowOff>
    </xdr:from>
    <xdr:ext cx="946150" cy="355599"/>
    <xdr:sp macro="" textlink="'pivot report'!G48">
      <xdr:nvSpPr>
        <xdr:cNvPr id="24" name="TextBox 23">
          <a:extLst>
            <a:ext uri="{FF2B5EF4-FFF2-40B4-BE49-F238E27FC236}">
              <a16:creationId xmlns:a16="http://schemas.microsoft.com/office/drawing/2014/main" id="{595431F7-FB46-38B1-CFE1-CC3EA7B11EDD}"/>
            </a:ext>
          </a:extLst>
        </xdr:cNvPr>
        <xdr:cNvSpPr txBox="1"/>
      </xdr:nvSpPr>
      <xdr:spPr>
        <a:xfrm>
          <a:off x="2004404" y="1176710"/>
          <a:ext cx="946150" cy="355599"/>
        </a:xfrm>
        <a:prstGeom prst="rect">
          <a:avLst/>
        </a:prstGeom>
        <a:noFill/>
        <a:ln>
          <a:noFill/>
        </a:ln>
        <a:effectLst>
          <a:glow rad="127000">
            <a:schemeClr val="accent1">
              <a:lumMod val="40000"/>
              <a:lumOff val="60000"/>
            </a:schemeClr>
          </a:glow>
          <a:outerShdw blurRad="50800" dist="50800" dir="5400000" sx="5000" sy="5000" algn="ctr" rotWithShape="0">
            <a:srgbClr val="000000">
              <a:alpha val="43137"/>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lIns="36000" tIns="36000" bIns="72000" rtlCol="0" anchor="b" anchorCtr="0">
          <a:noAutofit/>
        </a:bodyPr>
        <a:lstStyle/>
        <a:p>
          <a:fld id="{EC7AD877-FDFD-4A99-8F5D-9512112D8528}" type="TxLink">
            <a:rPr lang="en-US" sz="1400" b="0" i="0" u="none" strike="noStrike">
              <a:solidFill>
                <a:srgbClr val="000000"/>
              </a:solidFill>
              <a:latin typeface="Aptos Narrow"/>
            </a:rPr>
            <a:t> 16,10,697 </a:t>
          </a:fld>
          <a:endParaRPr lang="en-IN" sz="1800" b="0"/>
        </a:p>
      </xdr:txBody>
    </xdr:sp>
    <xdr:clientData/>
  </xdr:oneCellAnchor>
  <xdr:twoCellAnchor>
    <xdr:from>
      <xdr:col>5</xdr:col>
      <xdr:colOff>101600</xdr:colOff>
      <xdr:row>5</xdr:row>
      <xdr:rowOff>69850</xdr:rowOff>
    </xdr:from>
    <xdr:to>
      <xdr:col>8</xdr:col>
      <xdr:colOff>133350</xdr:colOff>
      <xdr:row>9</xdr:row>
      <xdr:rowOff>50800</xdr:rowOff>
    </xdr:to>
    <xdr:sp macro="" textlink="">
      <xdr:nvSpPr>
        <xdr:cNvPr id="25" name="Rectangle: Rounded Corners 24">
          <a:extLst>
            <a:ext uri="{FF2B5EF4-FFF2-40B4-BE49-F238E27FC236}">
              <a16:creationId xmlns:a16="http://schemas.microsoft.com/office/drawing/2014/main" id="{04563DBB-C304-03D5-737D-485CDE053D7D}"/>
            </a:ext>
          </a:extLst>
        </xdr:cNvPr>
        <xdr:cNvSpPr/>
      </xdr:nvSpPr>
      <xdr:spPr>
        <a:xfrm>
          <a:off x="3149600" y="990600"/>
          <a:ext cx="1860550" cy="717550"/>
        </a:xfrm>
        <a:prstGeom prst="roundRect">
          <a:avLst/>
        </a:prstGeom>
        <a:solidFill>
          <a:schemeClr val="bg1"/>
        </a:solidFill>
        <a:ln w="34925">
          <a:solidFill>
            <a:schemeClr val="accent6">
              <a:lumMod val="75000"/>
            </a:schemeClr>
          </a:solidFill>
        </a:ln>
        <a:effectLst>
          <a:outerShdw blurRad="50800" dist="50800" dir="5400000" algn="ctr" rotWithShape="0">
            <a:schemeClr val="accent3">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oneCellAnchor>
    <xdr:from>
      <xdr:col>6</xdr:col>
      <xdr:colOff>95250</xdr:colOff>
      <xdr:row>5</xdr:row>
      <xdr:rowOff>31750</xdr:rowOff>
    </xdr:from>
    <xdr:ext cx="1225550" cy="279400"/>
    <xdr:sp macro="" textlink="">
      <xdr:nvSpPr>
        <xdr:cNvPr id="26" name="TextBox 25">
          <a:extLst>
            <a:ext uri="{FF2B5EF4-FFF2-40B4-BE49-F238E27FC236}">
              <a16:creationId xmlns:a16="http://schemas.microsoft.com/office/drawing/2014/main" id="{120AF3C0-CE82-D2BF-3A62-E99FB6D4C7F9}"/>
            </a:ext>
          </a:extLst>
        </xdr:cNvPr>
        <xdr:cNvSpPr txBox="1"/>
      </xdr:nvSpPr>
      <xdr:spPr>
        <a:xfrm>
          <a:off x="3752850" y="952500"/>
          <a:ext cx="1225550" cy="27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 Total</a:t>
          </a:r>
          <a:r>
            <a:rPr lang="en-IN" sz="1600" b="1" baseline="0"/>
            <a:t> Profit</a:t>
          </a:r>
          <a:endParaRPr lang="en-IN" sz="1600" b="1"/>
        </a:p>
      </xdr:txBody>
    </xdr:sp>
    <xdr:clientData/>
  </xdr:oneCellAnchor>
  <xdr:twoCellAnchor>
    <xdr:from>
      <xdr:col>6</xdr:col>
      <xdr:colOff>237224</xdr:colOff>
      <xdr:row>6</xdr:row>
      <xdr:rowOff>147147</xdr:rowOff>
    </xdr:from>
    <xdr:to>
      <xdr:col>8</xdr:col>
      <xdr:colOff>7839</xdr:colOff>
      <xdr:row>8</xdr:row>
      <xdr:rowOff>78395</xdr:rowOff>
    </xdr:to>
    <xdr:sp macro="" textlink="'pivot report'!G48">
      <xdr:nvSpPr>
        <xdr:cNvPr id="27" name="TextBox 26">
          <a:extLst>
            <a:ext uri="{FF2B5EF4-FFF2-40B4-BE49-F238E27FC236}">
              <a16:creationId xmlns:a16="http://schemas.microsoft.com/office/drawing/2014/main" id="{7868F03F-69C0-41B8-0D9A-2E34D49BB782}"/>
            </a:ext>
          </a:extLst>
        </xdr:cNvPr>
        <xdr:cNvSpPr txBox="1"/>
      </xdr:nvSpPr>
      <xdr:spPr>
        <a:xfrm>
          <a:off x="3906113" y="1228999"/>
          <a:ext cx="993578" cy="2918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2B47CE-2933-4967-ABED-6AA45F60BA0E}" type="TxLink">
            <a:rPr lang="en-US" sz="1400" b="0" i="0" u="none" strike="noStrike">
              <a:solidFill>
                <a:srgbClr val="000000"/>
              </a:solidFill>
              <a:latin typeface="Aptos Narrow"/>
            </a:rPr>
            <a:t> 16,10,697 </a:t>
          </a:fld>
          <a:endParaRPr lang="en-IN" sz="1800"/>
        </a:p>
      </xdr:txBody>
    </xdr:sp>
    <xdr:clientData/>
  </xdr:twoCellAnchor>
  <xdr:twoCellAnchor editAs="oneCell">
    <xdr:from>
      <xdr:col>5</xdr:col>
      <xdr:colOff>139700</xdr:colOff>
      <xdr:row>6</xdr:row>
      <xdr:rowOff>31751</xdr:rowOff>
    </xdr:from>
    <xdr:to>
      <xdr:col>6</xdr:col>
      <xdr:colOff>242679</xdr:colOff>
      <xdr:row>8</xdr:row>
      <xdr:rowOff>31751</xdr:rowOff>
    </xdr:to>
    <xdr:pic>
      <xdr:nvPicPr>
        <xdr:cNvPr id="29" name="Picture 28">
          <a:extLst>
            <a:ext uri="{FF2B5EF4-FFF2-40B4-BE49-F238E27FC236}">
              <a16:creationId xmlns:a16="http://schemas.microsoft.com/office/drawing/2014/main" id="{5ADE36FA-FCD7-085A-1E1A-03EC34317EC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87700" y="1136651"/>
          <a:ext cx="712579" cy="368300"/>
        </a:xfrm>
        <a:prstGeom prst="rect">
          <a:avLst/>
        </a:prstGeom>
      </xdr:spPr>
    </xdr:pic>
    <xdr:clientData/>
  </xdr:twoCellAnchor>
  <xdr:twoCellAnchor>
    <xdr:from>
      <xdr:col>8</xdr:col>
      <xdr:colOff>330200</xdr:colOff>
      <xdr:row>5</xdr:row>
      <xdr:rowOff>6350</xdr:rowOff>
    </xdr:from>
    <xdr:to>
      <xdr:col>11</xdr:col>
      <xdr:colOff>361950</xdr:colOff>
      <xdr:row>8</xdr:row>
      <xdr:rowOff>171450</xdr:rowOff>
    </xdr:to>
    <xdr:sp macro="" textlink="">
      <xdr:nvSpPr>
        <xdr:cNvPr id="30" name="Rectangle: Rounded Corners 29">
          <a:extLst>
            <a:ext uri="{FF2B5EF4-FFF2-40B4-BE49-F238E27FC236}">
              <a16:creationId xmlns:a16="http://schemas.microsoft.com/office/drawing/2014/main" id="{59F60F6B-BCFF-780F-8689-4075A0657622}"/>
            </a:ext>
          </a:extLst>
        </xdr:cNvPr>
        <xdr:cNvSpPr/>
      </xdr:nvSpPr>
      <xdr:spPr>
        <a:xfrm>
          <a:off x="5207000" y="927100"/>
          <a:ext cx="1860550" cy="717550"/>
        </a:xfrm>
        <a:prstGeom prst="roundRect">
          <a:avLst/>
        </a:prstGeom>
        <a:solidFill>
          <a:schemeClr val="bg1"/>
        </a:solidFill>
        <a:ln w="34925">
          <a:solidFill>
            <a:schemeClr val="accent6">
              <a:lumMod val="75000"/>
            </a:schemeClr>
          </a:solidFill>
        </a:ln>
        <a:effectLst>
          <a:outerShdw blurRad="50800" dist="50800" dir="5400000" algn="ctr" rotWithShape="0">
            <a:schemeClr val="accent3">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oneCellAnchor>
    <xdr:from>
      <xdr:col>9</xdr:col>
      <xdr:colOff>139700</xdr:colOff>
      <xdr:row>5</xdr:row>
      <xdr:rowOff>12700</xdr:rowOff>
    </xdr:from>
    <xdr:ext cx="1403350" cy="336551"/>
    <xdr:sp macro="" textlink="">
      <xdr:nvSpPr>
        <xdr:cNvPr id="31" name="TextBox 30">
          <a:extLst>
            <a:ext uri="{FF2B5EF4-FFF2-40B4-BE49-F238E27FC236}">
              <a16:creationId xmlns:a16="http://schemas.microsoft.com/office/drawing/2014/main" id="{95E8B53D-A417-5D54-6972-FA88935D7DBD}"/>
            </a:ext>
          </a:extLst>
        </xdr:cNvPr>
        <xdr:cNvSpPr txBox="1"/>
      </xdr:nvSpPr>
      <xdr:spPr>
        <a:xfrm>
          <a:off x="5626100" y="933450"/>
          <a:ext cx="1403350" cy="336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Total Quantity</a:t>
          </a:r>
        </a:p>
      </xdr:txBody>
    </xdr:sp>
    <xdr:clientData/>
  </xdr:oneCellAnchor>
  <xdr:oneCellAnchor>
    <xdr:from>
      <xdr:col>9</xdr:col>
      <xdr:colOff>556293</xdr:colOff>
      <xdr:row>6</xdr:row>
      <xdr:rowOff>125119</xdr:rowOff>
    </xdr:from>
    <xdr:ext cx="742950" cy="311150"/>
    <xdr:sp macro="" textlink="'pivot report'!H48">
      <xdr:nvSpPr>
        <xdr:cNvPr id="32" name="TextBox 31">
          <a:extLst>
            <a:ext uri="{FF2B5EF4-FFF2-40B4-BE49-F238E27FC236}">
              <a16:creationId xmlns:a16="http://schemas.microsoft.com/office/drawing/2014/main" id="{69180E46-B5D5-BC70-D33C-4618D8DD2CDA}"/>
            </a:ext>
          </a:extLst>
        </xdr:cNvPr>
        <xdr:cNvSpPr txBox="1"/>
      </xdr:nvSpPr>
      <xdr:spPr>
        <a:xfrm>
          <a:off x="6059626" y="1206971"/>
          <a:ext cx="742950" cy="311150"/>
        </a:xfrm>
        <a:prstGeom prst="rect">
          <a:avLst/>
        </a:prstGeom>
        <a:noFill/>
        <a:effectLst>
          <a:glow rad="38100">
            <a:schemeClr val="accent1">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CF9937D-3410-4205-9F04-155E49C93026}" type="TxLink">
            <a:rPr lang="en-US" sz="1600" b="0" i="0" u="none" strike="noStrike">
              <a:solidFill>
                <a:srgbClr val="000000"/>
              </a:solidFill>
              <a:latin typeface="Aptos Narrow"/>
            </a:rPr>
            <a:t>12745</a:t>
          </a:fld>
          <a:endParaRPr lang="en-IN" sz="2400"/>
        </a:p>
      </xdr:txBody>
    </xdr:sp>
    <xdr:clientData/>
  </xdr:oneCellAnchor>
  <xdr:twoCellAnchor editAs="oneCell">
    <xdr:from>
      <xdr:col>8</xdr:col>
      <xdr:colOff>406400</xdr:colOff>
      <xdr:row>5</xdr:row>
      <xdr:rowOff>165100</xdr:rowOff>
    </xdr:from>
    <xdr:to>
      <xdr:col>9</xdr:col>
      <xdr:colOff>254000</xdr:colOff>
      <xdr:row>8</xdr:row>
      <xdr:rowOff>69850</xdr:rowOff>
    </xdr:to>
    <xdr:pic>
      <xdr:nvPicPr>
        <xdr:cNvPr id="34" name="Picture 33">
          <a:extLst>
            <a:ext uri="{FF2B5EF4-FFF2-40B4-BE49-F238E27FC236}">
              <a16:creationId xmlns:a16="http://schemas.microsoft.com/office/drawing/2014/main" id="{C43585D7-4CEB-BE8D-2980-388FF50A908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283200" y="1085850"/>
          <a:ext cx="457200" cy="457200"/>
        </a:xfrm>
        <a:prstGeom prst="rect">
          <a:avLst/>
        </a:prstGeom>
      </xdr:spPr>
    </xdr:pic>
    <xdr:clientData/>
  </xdr:twoCellAnchor>
  <xdr:twoCellAnchor>
    <xdr:from>
      <xdr:col>11</xdr:col>
      <xdr:colOff>552450</xdr:colOff>
      <xdr:row>5</xdr:row>
      <xdr:rowOff>25400</xdr:rowOff>
    </xdr:from>
    <xdr:to>
      <xdr:col>14</xdr:col>
      <xdr:colOff>584200</xdr:colOff>
      <xdr:row>9</xdr:row>
      <xdr:rowOff>6350</xdr:rowOff>
    </xdr:to>
    <xdr:sp macro="" textlink="">
      <xdr:nvSpPr>
        <xdr:cNvPr id="35" name="Rectangle: Rounded Corners 34">
          <a:extLst>
            <a:ext uri="{FF2B5EF4-FFF2-40B4-BE49-F238E27FC236}">
              <a16:creationId xmlns:a16="http://schemas.microsoft.com/office/drawing/2014/main" id="{4E1F1656-66AF-2C32-5C8C-20ADAB8DB185}"/>
            </a:ext>
          </a:extLst>
        </xdr:cNvPr>
        <xdr:cNvSpPr/>
      </xdr:nvSpPr>
      <xdr:spPr>
        <a:xfrm>
          <a:off x="7258050" y="946150"/>
          <a:ext cx="1860550" cy="717550"/>
        </a:xfrm>
        <a:prstGeom prst="roundRect">
          <a:avLst/>
        </a:prstGeom>
        <a:solidFill>
          <a:schemeClr val="bg1"/>
        </a:solidFill>
        <a:ln w="34925">
          <a:solidFill>
            <a:schemeClr val="accent6">
              <a:lumMod val="75000"/>
            </a:schemeClr>
          </a:solidFill>
        </a:ln>
        <a:effectLst>
          <a:outerShdw blurRad="50800" dist="50800" dir="5400000" algn="ctr" rotWithShape="0">
            <a:schemeClr val="accent3">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oneCellAnchor>
    <xdr:from>
      <xdr:col>12</xdr:col>
      <xdr:colOff>406400</xdr:colOff>
      <xdr:row>5</xdr:row>
      <xdr:rowOff>6350</xdr:rowOff>
    </xdr:from>
    <xdr:ext cx="1562100" cy="311150"/>
    <xdr:sp macro="" textlink="">
      <xdr:nvSpPr>
        <xdr:cNvPr id="36" name="TextBox 35">
          <a:extLst>
            <a:ext uri="{FF2B5EF4-FFF2-40B4-BE49-F238E27FC236}">
              <a16:creationId xmlns:a16="http://schemas.microsoft.com/office/drawing/2014/main" id="{71843EB4-BAC5-ABCC-8D5E-1160B303C1CE}"/>
            </a:ext>
          </a:extLst>
        </xdr:cNvPr>
        <xdr:cNvSpPr txBox="1"/>
      </xdr:nvSpPr>
      <xdr:spPr>
        <a:xfrm>
          <a:off x="7721600" y="927100"/>
          <a:ext cx="1562100" cy="311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Average Sales</a:t>
          </a:r>
        </a:p>
      </xdr:txBody>
    </xdr:sp>
    <xdr:clientData/>
  </xdr:oneCellAnchor>
  <xdr:twoCellAnchor editAs="oneCell">
    <xdr:from>
      <xdr:col>12</xdr:col>
      <xdr:colOff>69851</xdr:colOff>
      <xdr:row>5</xdr:row>
      <xdr:rowOff>57151</xdr:rowOff>
    </xdr:from>
    <xdr:to>
      <xdr:col>12</xdr:col>
      <xdr:colOff>527674</xdr:colOff>
      <xdr:row>8</xdr:row>
      <xdr:rowOff>107950</xdr:rowOff>
    </xdr:to>
    <xdr:pic>
      <xdr:nvPicPr>
        <xdr:cNvPr id="38" name="Picture 37">
          <a:extLst>
            <a:ext uri="{FF2B5EF4-FFF2-40B4-BE49-F238E27FC236}">
              <a16:creationId xmlns:a16="http://schemas.microsoft.com/office/drawing/2014/main" id="{A2B68F3D-7984-9DE5-4FF4-B7809B76B7A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385051" y="977901"/>
          <a:ext cx="457823" cy="603249"/>
        </a:xfrm>
        <a:prstGeom prst="rect">
          <a:avLst/>
        </a:prstGeom>
      </xdr:spPr>
    </xdr:pic>
    <xdr:clientData/>
  </xdr:twoCellAnchor>
  <xdr:oneCellAnchor>
    <xdr:from>
      <xdr:col>13</xdr:col>
      <xdr:colOff>147697</xdr:colOff>
      <xdr:row>6</xdr:row>
      <xdr:rowOff>148245</xdr:rowOff>
    </xdr:from>
    <xdr:ext cx="850900" cy="387350"/>
    <xdr:sp macro="" textlink="'pivot report'!I48">
      <xdr:nvSpPr>
        <xdr:cNvPr id="39" name="TextBox 38">
          <a:extLst>
            <a:ext uri="{FF2B5EF4-FFF2-40B4-BE49-F238E27FC236}">
              <a16:creationId xmlns:a16="http://schemas.microsoft.com/office/drawing/2014/main" id="{BAFCEDCE-0ED3-3BB9-6FFB-D0455AB3EBF6}"/>
            </a:ext>
          </a:extLst>
        </xdr:cNvPr>
        <xdr:cNvSpPr txBox="1"/>
      </xdr:nvSpPr>
      <xdr:spPr>
        <a:xfrm>
          <a:off x="8096956" y="1230097"/>
          <a:ext cx="850900" cy="387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C4B6555-A4B7-4346-B490-794C05CFED24}" type="TxLink">
            <a:rPr lang="en-US" sz="1400" b="0" i="0" u="none" strike="noStrike">
              <a:solidFill>
                <a:srgbClr val="000000"/>
              </a:solidFill>
              <a:latin typeface="Aptos Narrow"/>
            </a:rPr>
            <a:t>5178.09</a:t>
          </a:fld>
          <a:endParaRPr lang="en-IN" sz="2400"/>
        </a:p>
      </xdr:txBody>
    </xdr:sp>
    <xdr:clientData/>
  </xdr:oneCellAnchor>
  <xdr:twoCellAnchor>
    <xdr:from>
      <xdr:col>15</xdr:col>
      <xdr:colOff>158750</xdr:colOff>
      <xdr:row>5</xdr:row>
      <xdr:rowOff>19050</xdr:rowOff>
    </xdr:from>
    <xdr:to>
      <xdr:col>18</xdr:col>
      <xdr:colOff>190500</xdr:colOff>
      <xdr:row>9</xdr:row>
      <xdr:rowOff>0</xdr:rowOff>
    </xdr:to>
    <xdr:sp macro="" textlink="">
      <xdr:nvSpPr>
        <xdr:cNvPr id="42" name="Rectangle: Rounded Corners 41">
          <a:extLst>
            <a:ext uri="{FF2B5EF4-FFF2-40B4-BE49-F238E27FC236}">
              <a16:creationId xmlns:a16="http://schemas.microsoft.com/office/drawing/2014/main" id="{3612941C-23C7-BD2D-EE56-F0668BA3B99E}"/>
            </a:ext>
          </a:extLst>
        </xdr:cNvPr>
        <xdr:cNvSpPr/>
      </xdr:nvSpPr>
      <xdr:spPr>
        <a:xfrm>
          <a:off x="9302750" y="939800"/>
          <a:ext cx="1860550" cy="717550"/>
        </a:xfrm>
        <a:prstGeom prst="roundRect">
          <a:avLst/>
        </a:prstGeom>
        <a:solidFill>
          <a:schemeClr val="bg1"/>
        </a:solidFill>
        <a:ln w="34925">
          <a:solidFill>
            <a:schemeClr val="accent6">
              <a:lumMod val="75000"/>
            </a:schemeClr>
          </a:solidFill>
        </a:ln>
        <a:effectLst>
          <a:outerShdw blurRad="50800" dist="50800" dir="5400000" algn="ctr" rotWithShape="0">
            <a:schemeClr val="accent3">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oneCellAnchor>
    <xdr:from>
      <xdr:col>16</xdr:col>
      <xdr:colOff>57150</xdr:colOff>
      <xdr:row>5</xdr:row>
      <xdr:rowOff>6350</xdr:rowOff>
    </xdr:from>
    <xdr:ext cx="1320800" cy="393700"/>
    <xdr:sp macro="" textlink="">
      <xdr:nvSpPr>
        <xdr:cNvPr id="43" name="TextBox 42">
          <a:extLst>
            <a:ext uri="{FF2B5EF4-FFF2-40B4-BE49-F238E27FC236}">
              <a16:creationId xmlns:a16="http://schemas.microsoft.com/office/drawing/2014/main" id="{38F51277-89BA-AE5C-D6F0-E510185E7FA9}"/>
            </a:ext>
          </a:extLst>
        </xdr:cNvPr>
        <xdr:cNvSpPr txBox="1"/>
      </xdr:nvSpPr>
      <xdr:spPr>
        <a:xfrm>
          <a:off x="9810750" y="927100"/>
          <a:ext cx="1320800" cy="393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Total Orders</a:t>
          </a:r>
        </a:p>
      </xdr:txBody>
    </xdr:sp>
    <xdr:clientData/>
  </xdr:oneCellAnchor>
  <xdr:oneCellAnchor>
    <xdr:from>
      <xdr:col>17</xdr:col>
      <xdr:colOff>6350</xdr:colOff>
      <xdr:row>6</xdr:row>
      <xdr:rowOff>25401</xdr:rowOff>
    </xdr:from>
    <xdr:ext cx="819150" cy="304800"/>
    <xdr:sp macro="" textlink="'pivot report'!B4">
      <xdr:nvSpPr>
        <xdr:cNvPr id="44" name="TextBox 43">
          <a:extLst>
            <a:ext uri="{FF2B5EF4-FFF2-40B4-BE49-F238E27FC236}">
              <a16:creationId xmlns:a16="http://schemas.microsoft.com/office/drawing/2014/main" id="{74A1F6CE-6045-6C02-2C56-9833E53342E4}"/>
            </a:ext>
          </a:extLst>
        </xdr:cNvPr>
        <xdr:cNvSpPr txBox="1"/>
      </xdr:nvSpPr>
      <xdr:spPr>
        <a:xfrm>
          <a:off x="10369550" y="1130301"/>
          <a:ext cx="81915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FE3E0F6-A0D9-4702-A62A-D02F520FB6F9}" type="TxLink">
            <a:rPr lang="en-US" sz="1600" b="0" i="0" u="none" strike="noStrike">
              <a:solidFill>
                <a:srgbClr val="000000"/>
              </a:solidFill>
              <a:latin typeface="Aptos Narrow"/>
            </a:rPr>
            <a:t>82112</a:t>
          </a:fld>
          <a:endParaRPr lang="en-IN" sz="1600"/>
        </a:p>
      </xdr:txBody>
    </xdr:sp>
    <xdr:clientData/>
  </xdr:oneCellAnchor>
  <xdr:twoCellAnchor editAs="oneCell">
    <xdr:from>
      <xdr:col>15</xdr:col>
      <xdr:colOff>292100</xdr:colOff>
      <xdr:row>6</xdr:row>
      <xdr:rowOff>76200</xdr:rowOff>
    </xdr:from>
    <xdr:to>
      <xdr:col>16</xdr:col>
      <xdr:colOff>188761</xdr:colOff>
      <xdr:row>8</xdr:row>
      <xdr:rowOff>140222</xdr:rowOff>
    </xdr:to>
    <xdr:pic>
      <xdr:nvPicPr>
        <xdr:cNvPr id="46" name="Picture 45">
          <a:extLst>
            <a:ext uri="{FF2B5EF4-FFF2-40B4-BE49-F238E27FC236}">
              <a16:creationId xmlns:a16="http://schemas.microsoft.com/office/drawing/2014/main" id="{C369E49C-BF8E-1943-6458-5C5874C2EE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436100" y="1181100"/>
          <a:ext cx="690616" cy="432322"/>
        </a:xfrm>
        <a:prstGeom prst="rect">
          <a:avLst/>
        </a:prstGeom>
      </xdr:spPr>
    </xdr:pic>
    <xdr:clientData/>
  </xdr:twoCellAnchor>
  <xdr:twoCellAnchor editAs="oneCell">
    <xdr:from>
      <xdr:col>0</xdr:col>
      <xdr:colOff>120650</xdr:colOff>
      <xdr:row>0</xdr:row>
      <xdr:rowOff>165100</xdr:rowOff>
    </xdr:from>
    <xdr:to>
      <xdr:col>1</xdr:col>
      <xdr:colOff>463550</xdr:colOff>
      <xdr:row>11</xdr:row>
      <xdr:rowOff>146050</xdr:rowOff>
    </xdr:to>
    <mc:AlternateContent xmlns:mc="http://schemas.openxmlformats.org/markup-compatibility/2006">
      <mc:Choice xmlns:a14="http://schemas.microsoft.com/office/drawing/2010/main" Requires="a14">
        <xdr:graphicFrame macro="">
          <xdr:nvGraphicFramePr>
            <xdr:cNvPr id="47" name="Year">
              <a:extLst>
                <a:ext uri="{FF2B5EF4-FFF2-40B4-BE49-F238E27FC236}">
                  <a16:creationId xmlns:a16="http://schemas.microsoft.com/office/drawing/2014/main" id="{CE5606C2-24FC-4581-8E66-D3561590F37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0650" y="165100"/>
              <a:ext cx="950291" cy="2005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15</xdr:row>
      <xdr:rowOff>84823</xdr:rowOff>
    </xdr:from>
    <xdr:to>
      <xdr:col>1</xdr:col>
      <xdr:colOff>488950</xdr:colOff>
      <xdr:row>22</xdr:row>
      <xdr:rowOff>59424</xdr:rowOff>
    </xdr:to>
    <mc:AlternateContent xmlns:mc="http://schemas.openxmlformats.org/markup-compatibility/2006">
      <mc:Choice xmlns:a14="http://schemas.microsoft.com/office/drawing/2010/main" Requires="a14">
        <xdr:graphicFrame macro="">
          <xdr:nvGraphicFramePr>
            <xdr:cNvPr id="48" name="Category">
              <a:extLst>
                <a:ext uri="{FF2B5EF4-FFF2-40B4-BE49-F238E27FC236}">
                  <a16:creationId xmlns:a16="http://schemas.microsoft.com/office/drawing/2014/main" id="{A658B8E1-0F36-462B-B562-5EE0333C930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800" y="2845693"/>
              <a:ext cx="1045541" cy="1263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77690</xdr:colOff>
      <xdr:row>13</xdr:row>
      <xdr:rowOff>95957</xdr:rowOff>
    </xdr:from>
    <xdr:ext cx="977900" cy="311496"/>
    <xdr:sp macro="" textlink="">
      <xdr:nvSpPr>
        <xdr:cNvPr id="49" name="TextBox 48">
          <a:extLst>
            <a:ext uri="{FF2B5EF4-FFF2-40B4-BE49-F238E27FC236}">
              <a16:creationId xmlns:a16="http://schemas.microsoft.com/office/drawing/2014/main" id="{341E8196-D7E5-82DE-8938-12A5F1226BC2}"/>
            </a:ext>
          </a:extLst>
        </xdr:cNvPr>
        <xdr:cNvSpPr txBox="1"/>
      </xdr:nvSpPr>
      <xdr:spPr>
        <a:xfrm>
          <a:off x="77690" y="2439969"/>
          <a:ext cx="977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Category</a:t>
          </a:r>
        </a:p>
      </xdr:txBody>
    </xdr:sp>
    <xdr:clientData/>
  </xdr:oneCellAnchor>
  <xdr:twoCellAnchor editAs="oneCell">
    <xdr:from>
      <xdr:col>0</xdr:col>
      <xdr:colOff>89998</xdr:colOff>
      <xdr:row>25</xdr:row>
      <xdr:rowOff>113908</xdr:rowOff>
    </xdr:from>
    <xdr:to>
      <xdr:col>1</xdr:col>
      <xdr:colOff>490048</xdr:colOff>
      <xdr:row>34</xdr:row>
      <xdr:rowOff>113908</xdr:rowOff>
    </xdr:to>
    <mc:AlternateContent xmlns:mc="http://schemas.openxmlformats.org/markup-compatibility/2006">
      <mc:Choice xmlns:a14="http://schemas.microsoft.com/office/drawing/2010/main" Requires="a14">
        <xdr:graphicFrame macro="">
          <xdr:nvGraphicFramePr>
            <xdr:cNvPr id="50" name="PaymentMode">
              <a:extLst>
                <a:ext uri="{FF2B5EF4-FFF2-40B4-BE49-F238E27FC236}">
                  <a16:creationId xmlns:a16="http://schemas.microsoft.com/office/drawing/2014/main" id="{2F67684C-92D2-4CE7-A1D5-C003B194CA42}"/>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89998" y="4715357"/>
              <a:ext cx="1007441" cy="1656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23</xdr:row>
      <xdr:rowOff>94074</xdr:rowOff>
    </xdr:from>
    <xdr:ext cx="1111250" cy="280205"/>
    <xdr:sp macro="" textlink="">
      <xdr:nvSpPr>
        <xdr:cNvPr id="51" name="TextBox 50">
          <a:extLst>
            <a:ext uri="{FF2B5EF4-FFF2-40B4-BE49-F238E27FC236}">
              <a16:creationId xmlns:a16="http://schemas.microsoft.com/office/drawing/2014/main" id="{85476C18-9406-FA91-2D20-EEB591E06BBB}"/>
            </a:ext>
          </a:extLst>
        </xdr:cNvPr>
        <xdr:cNvSpPr txBox="1"/>
      </xdr:nvSpPr>
      <xdr:spPr>
        <a:xfrm>
          <a:off x="0" y="4241173"/>
          <a:ext cx="1111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Paymentmode</a:t>
          </a:r>
        </a:p>
      </xdr:txBody>
    </xdr:sp>
    <xdr:clientData/>
  </xdr:oneCellAnchor>
  <xdr:twoCellAnchor>
    <xdr:from>
      <xdr:col>2</xdr:col>
      <xdr:colOff>0</xdr:colOff>
      <xdr:row>10</xdr:row>
      <xdr:rowOff>125903</xdr:rowOff>
    </xdr:from>
    <xdr:to>
      <xdr:col>7</xdr:col>
      <xdr:colOff>279400</xdr:colOff>
      <xdr:row>22</xdr:row>
      <xdr:rowOff>23519</xdr:rowOff>
    </xdr:to>
    <xdr:graphicFrame macro="">
      <xdr:nvGraphicFramePr>
        <xdr:cNvPr id="54" name="Chart 53">
          <a:extLst>
            <a:ext uri="{FF2B5EF4-FFF2-40B4-BE49-F238E27FC236}">
              <a16:creationId xmlns:a16="http://schemas.microsoft.com/office/drawing/2014/main" id="{4B4EC05A-B130-40C8-8003-1D7D21A30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xdr:col>
      <xdr:colOff>0</xdr:colOff>
      <xdr:row>9</xdr:row>
      <xdr:rowOff>171450</xdr:rowOff>
    </xdr:from>
    <xdr:ext cx="3321050" cy="311150"/>
    <xdr:sp macro="" textlink="">
      <xdr:nvSpPr>
        <xdr:cNvPr id="55" name="TextBox 54">
          <a:extLst>
            <a:ext uri="{FF2B5EF4-FFF2-40B4-BE49-F238E27FC236}">
              <a16:creationId xmlns:a16="http://schemas.microsoft.com/office/drawing/2014/main" id="{6C59FF9D-D35C-0AA1-7B71-454B79E11602}"/>
            </a:ext>
          </a:extLst>
        </xdr:cNvPr>
        <xdr:cNvSpPr txBox="1"/>
      </xdr:nvSpPr>
      <xdr:spPr>
        <a:xfrm>
          <a:off x="1222963" y="1794228"/>
          <a:ext cx="3321050" cy="31115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Monthly Sales Trend</a:t>
          </a:r>
        </a:p>
      </xdr:txBody>
    </xdr:sp>
    <xdr:clientData/>
  </xdr:oneCellAnchor>
  <xdr:twoCellAnchor>
    <xdr:from>
      <xdr:col>7</xdr:col>
      <xdr:colOff>368300</xdr:colOff>
      <xdr:row>10</xdr:row>
      <xdr:rowOff>12700</xdr:rowOff>
    </xdr:from>
    <xdr:to>
      <xdr:col>12</xdr:col>
      <xdr:colOff>184150</xdr:colOff>
      <xdr:row>20</xdr:row>
      <xdr:rowOff>57150</xdr:rowOff>
    </xdr:to>
    <xdr:graphicFrame macro="">
      <xdr:nvGraphicFramePr>
        <xdr:cNvPr id="56" name="Chart 55">
          <a:extLst>
            <a:ext uri="{FF2B5EF4-FFF2-40B4-BE49-F238E27FC236}">
              <a16:creationId xmlns:a16="http://schemas.microsoft.com/office/drawing/2014/main" id="{DBE97918-F7F1-4E6F-8D16-FAE25FE9C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7</xdr:col>
      <xdr:colOff>381000</xdr:colOff>
      <xdr:row>10</xdr:row>
      <xdr:rowOff>12700</xdr:rowOff>
    </xdr:from>
    <xdr:ext cx="2844800" cy="283610"/>
    <xdr:sp macro="" textlink="">
      <xdr:nvSpPr>
        <xdr:cNvPr id="57" name="TextBox 56">
          <a:extLst>
            <a:ext uri="{FF2B5EF4-FFF2-40B4-BE49-F238E27FC236}">
              <a16:creationId xmlns:a16="http://schemas.microsoft.com/office/drawing/2014/main" id="{C6650480-BA80-F8DB-F8A3-92587A5B8EF3}"/>
            </a:ext>
          </a:extLst>
        </xdr:cNvPr>
        <xdr:cNvSpPr txBox="1"/>
      </xdr:nvSpPr>
      <xdr:spPr>
        <a:xfrm>
          <a:off x="4648200" y="1854200"/>
          <a:ext cx="2844800" cy="28361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Sales</a:t>
          </a:r>
          <a:r>
            <a:rPr lang="en-IN" sz="1400" b="1" baseline="0"/>
            <a:t> </a:t>
          </a:r>
          <a:r>
            <a:rPr lang="en-IN" sz="1400" b="1"/>
            <a:t>by</a:t>
          </a:r>
          <a:r>
            <a:rPr lang="en-IN" sz="1400" b="1" baseline="0"/>
            <a:t> Category</a:t>
          </a:r>
          <a:endParaRPr lang="en-IN" sz="1400" b="1"/>
        </a:p>
      </xdr:txBody>
    </xdr:sp>
    <xdr:clientData/>
  </xdr:oneCellAnchor>
  <xdr:twoCellAnchor>
    <xdr:from>
      <xdr:col>8</xdr:col>
      <xdr:colOff>328710</xdr:colOff>
      <xdr:row>24</xdr:row>
      <xdr:rowOff>148246</xdr:rowOff>
    </xdr:from>
    <xdr:to>
      <xdr:col>13</xdr:col>
      <xdr:colOff>379510</xdr:colOff>
      <xdr:row>36</xdr:row>
      <xdr:rowOff>129196</xdr:rowOff>
    </xdr:to>
    <xdr:graphicFrame macro="">
      <xdr:nvGraphicFramePr>
        <xdr:cNvPr id="58" name="Chart 57">
          <a:extLst>
            <a:ext uri="{FF2B5EF4-FFF2-40B4-BE49-F238E27FC236}">
              <a16:creationId xmlns:a16="http://schemas.microsoft.com/office/drawing/2014/main" id="{57A191AA-9A5D-43C1-868A-FBDA00EBC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8</xdr:col>
      <xdr:colOff>325340</xdr:colOff>
      <xdr:row>23</xdr:row>
      <xdr:rowOff>44137</xdr:rowOff>
    </xdr:from>
    <xdr:ext cx="3130550" cy="292100"/>
    <xdr:sp macro="" textlink="">
      <xdr:nvSpPr>
        <xdr:cNvPr id="59" name="TextBox 58">
          <a:extLst>
            <a:ext uri="{FF2B5EF4-FFF2-40B4-BE49-F238E27FC236}">
              <a16:creationId xmlns:a16="http://schemas.microsoft.com/office/drawing/2014/main" id="{7C6A8BB2-2A15-5138-D5C7-FBF40EADDFBC}"/>
            </a:ext>
          </a:extLst>
        </xdr:cNvPr>
        <xdr:cNvSpPr txBox="1"/>
      </xdr:nvSpPr>
      <xdr:spPr>
        <a:xfrm>
          <a:off x="5217192" y="4191236"/>
          <a:ext cx="3130550" cy="29210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Profit by</a:t>
          </a:r>
          <a:r>
            <a:rPr lang="en-IN" sz="1400" b="1" baseline="0"/>
            <a:t> Category</a:t>
          </a:r>
          <a:endParaRPr lang="en-IN" sz="1400" b="1"/>
        </a:p>
      </xdr:txBody>
    </xdr:sp>
    <xdr:clientData/>
  </xdr:oneCellAnchor>
  <xdr:twoCellAnchor>
    <xdr:from>
      <xdr:col>2</xdr:col>
      <xdr:colOff>54877</xdr:colOff>
      <xdr:row>24</xdr:row>
      <xdr:rowOff>127706</xdr:rowOff>
    </xdr:from>
    <xdr:to>
      <xdr:col>8</xdr:col>
      <xdr:colOff>213627</xdr:colOff>
      <xdr:row>35</xdr:row>
      <xdr:rowOff>115007</xdr:rowOff>
    </xdr:to>
    <xdr:graphicFrame macro="">
      <xdr:nvGraphicFramePr>
        <xdr:cNvPr id="60" name="Chart 59">
          <a:extLst>
            <a:ext uri="{FF2B5EF4-FFF2-40B4-BE49-F238E27FC236}">
              <a16:creationId xmlns:a16="http://schemas.microsoft.com/office/drawing/2014/main" id="{FC56528A-779C-4A6A-B53A-E509FD1B3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xdr:col>
      <xdr:colOff>40294</xdr:colOff>
      <xdr:row>23</xdr:row>
      <xdr:rowOff>1542</xdr:rowOff>
    </xdr:from>
    <xdr:ext cx="3817502" cy="312544"/>
    <xdr:sp macro="" textlink="">
      <xdr:nvSpPr>
        <xdr:cNvPr id="61" name="TextBox 60">
          <a:extLst>
            <a:ext uri="{FF2B5EF4-FFF2-40B4-BE49-F238E27FC236}">
              <a16:creationId xmlns:a16="http://schemas.microsoft.com/office/drawing/2014/main" id="{28B66D05-39BA-6891-A46A-82E9371A2552}"/>
            </a:ext>
          </a:extLst>
        </xdr:cNvPr>
        <xdr:cNvSpPr txBox="1"/>
      </xdr:nvSpPr>
      <xdr:spPr>
        <a:xfrm>
          <a:off x="1255670" y="4241703"/>
          <a:ext cx="3817502" cy="312544"/>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Sales by Payment</a:t>
          </a:r>
          <a:r>
            <a:rPr lang="en-IN" sz="1400" b="1" baseline="0"/>
            <a:t> Mode</a:t>
          </a:r>
          <a:endParaRPr lang="en-IN" sz="1400" b="1"/>
        </a:p>
      </xdr:txBody>
    </xdr:sp>
    <xdr:clientData/>
  </xdr:oneCellAnchor>
  <xdr:twoCellAnchor>
    <xdr:from>
      <xdr:col>12</xdr:col>
      <xdr:colOff>234951</xdr:colOff>
      <xdr:row>10</xdr:row>
      <xdr:rowOff>171371</xdr:rowOff>
    </xdr:from>
    <xdr:to>
      <xdr:col>19</xdr:col>
      <xdr:colOff>460146</xdr:colOff>
      <xdr:row>22</xdr:row>
      <xdr:rowOff>174855</xdr:rowOff>
    </xdr:to>
    <xdr:graphicFrame macro="">
      <xdr:nvGraphicFramePr>
        <xdr:cNvPr id="62" name="Chart 61">
          <a:extLst>
            <a:ext uri="{FF2B5EF4-FFF2-40B4-BE49-F238E27FC236}">
              <a16:creationId xmlns:a16="http://schemas.microsoft.com/office/drawing/2014/main" id="{8E7663E5-A1F1-49B4-A720-EA34ADC14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12</xdr:col>
      <xdr:colOff>220761</xdr:colOff>
      <xdr:row>9</xdr:row>
      <xdr:rowOff>131860</xdr:rowOff>
    </xdr:from>
    <xdr:ext cx="4656775" cy="311496"/>
    <xdr:sp macro="" textlink="">
      <xdr:nvSpPr>
        <xdr:cNvPr id="64" name="TextBox 63">
          <a:extLst>
            <a:ext uri="{FF2B5EF4-FFF2-40B4-BE49-F238E27FC236}">
              <a16:creationId xmlns:a16="http://schemas.microsoft.com/office/drawing/2014/main" id="{E25CA3E3-23BA-AB53-30BF-0AAF9090A20D}"/>
            </a:ext>
          </a:extLst>
        </xdr:cNvPr>
        <xdr:cNvSpPr txBox="1"/>
      </xdr:nvSpPr>
      <xdr:spPr>
        <a:xfrm>
          <a:off x="7509457" y="1788382"/>
          <a:ext cx="4656775" cy="311496"/>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Top 5 Sub-Category by Sales</a:t>
          </a:r>
        </a:p>
      </xdr:txBody>
    </xdr:sp>
    <xdr:clientData/>
  </xdr:oneCellAnchor>
  <xdr:oneCellAnchor>
    <xdr:from>
      <xdr:col>13</xdr:col>
      <xdr:colOff>594033</xdr:colOff>
      <xdr:row>24</xdr:row>
      <xdr:rowOff>40966</xdr:rowOff>
    </xdr:from>
    <xdr:ext cx="3236451" cy="311496"/>
    <xdr:sp macro="" textlink="">
      <xdr:nvSpPr>
        <xdr:cNvPr id="65" name="TextBox 64">
          <a:extLst>
            <a:ext uri="{FF2B5EF4-FFF2-40B4-BE49-F238E27FC236}">
              <a16:creationId xmlns:a16="http://schemas.microsoft.com/office/drawing/2014/main" id="{4A1C56EF-A9CB-B432-A19B-753BE485DEFC}"/>
            </a:ext>
          </a:extLst>
        </xdr:cNvPr>
        <xdr:cNvSpPr txBox="1"/>
      </xdr:nvSpPr>
      <xdr:spPr>
        <a:xfrm>
          <a:off x="8493979" y="4465482"/>
          <a:ext cx="3236451" cy="311496"/>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State-wise</a:t>
          </a:r>
          <a:r>
            <a:rPr lang="en-IN" sz="1400" b="1" baseline="0"/>
            <a:t> Sales,profit and orders(Top 5)</a:t>
          </a:r>
          <a:endParaRPr lang="en-IN" sz="1400" b="1"/>
        </a:p>
      </xdr:txBody>
    </xdr:sp>
    <xdr:clientData/>
  </xdr:oneCellAnchor>
</xdr:wsDr>
</file>

<file path=xl/drawings/drawing2.xml><?xml version="1.0" encoding="utf-8"?>
<c:userShapes xmlns:c="http://schemas.openxmlformats.org/drawingml/2006/chart">
  <cdr:relSizeAnchor xmlns:cdr="http://schemas.openxmlformats.org/drawingml/2006/chartDrawing">
    <cdr:from>
      <cdr:x>0.37328</cdr:x>
      <cdr:y>0.2351</cdr:y>
    </cdr:from>
    <cdr:to>
      <cdr:x>0.65619</cdr:x>
      <cdr:y>0.31788</cdr:y>
    </cdr:to>
    <cdr:sp macro="" textlink="">
      <cdr:nvSpPr>
        <cdr:cNvPr id="2" name="TextBox 1">
          <a:extLst xmlns:a="http://schemas.openxmlformats.org/drawingml/2006/main">
            <a:ext uri="{FF2B5EF4-FFF2-40B4-BE49-F238E27FC236}">
              <a16:creationId xmlns:a16="http://schemas.microsoft.com/office/drawing/2014/main" id="{63B2D6F5-6D8C-72C1-4947-F0EF20BC83A1}"/>
            </a:ext>
          </a:extLst>
        </cdr:cNvPr>
        <cdr:cNvSpPr txBox="1"/>
      </cdr:nvSpPr>
      <cdr:spPr>
        <a:xfrm xmlns:a="http://schemas.openxmlformats.org/drawingml/2006/main">
          <a:off x="1206500" y="450850"/>
          <a:ext cx="914400" cy="158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0.04213</cdr:x>
      <cdr:y>0.10774</cdr:y>
    </cdr:from>
    <cdr:to>
      <cdr:x>0.36142</cdr:x>
      <cdr:y>0.20539</cdr:y>
    </cdr:to>
    <cdr:sp macro="" textlink="">
      <cdr:nvSpPr>
        <cdr:cNvPr id="2" name="TextBox 1">
          <a:extLst xmlns:a="http://schemas.openxmlformats.org/drawingml/2006/main">
            <a:ext uri="{FF2B5EF4-FFF2-40B4-BE49-F238E27FC236}">
              <a16:creationId xmlns:a16="http://schemas.microsoft.com/office/drawing/2014/main" id="{D0121822-0AC3-B67A-9880-FCDBCFCFBE7C}"/>
            </a:ext>
          </a:extLst>
        </cdr:cNvPr>
        <cdr:cNvSpPr txBox="1"/>
      </cdr:nvSpPr>
      <cdr:spPr>
        <a:xfrm xmlns:a="http://schemas.openxmlformats.org/drawingml/2006/main">
          <a:off x="120650" y="203200"/>
          <a:ext cx="914400" cy="1841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0.34035</cdr:x>
      <cdr:y>0.25758</cdr:y>
    </cdr:from>
    <cdr:to>
      <cdr:x>0.65965</cdr:x>
      <cdr:y>0.74242</cdr:y>
    </cdr:to>
    <cdr:sp macro="" textlink="">
      <cdr:nvSpPr>
        <cdr:cNvPr id="3" name="TextBox 2">
          <a:extLst xmlns:a="http://schemas.openxmlformats.org/drawingml/2006/main">
            <a:ext uri="{FF2B5EF4-FFF2-40B4-BE49-F238E27FC236}">
              <a16:creationId xmlns:a16="http://schemas.microsoft.com/office/drawing/2014/main" id="{D79A10A9-3937-DB9B-C8A4-3C2A42746DBC}"/>
            </a:ext>
          </a:extLst>
        </cdr:cNvPr>
        <cdr:cNvSpPr txBox="1"/>
      </cdr:nvSpPr>
      <cdr:spPr>
        <a:xfrm xmlns:a="http://schemas.openxmlformats.org/drawingml/2006/main">
          <a:off x="974725" y="48577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0.09091</cdr:x>
      <cdr:y>0.12121</cdr:y>
    </cdr:from>
    <cdr:to>
      <cdr:x>0.4102</cdr:x>
      <cdr:y>0.24579</cdr:y>
    </cdr:to>
    <cdr:sp macro="" textlink="">
      <cdr:nvSpPr>
        <cdr:cNvPr id="4" name="TextBox 3">
          <a:extLst xmlns:a="http://schemas.openxmlformats.org/drawingml/2006/main">
            <a:ext uri="{FF2B5EF4-FFF2-40B4-BE49-F238E27FC236}">
              <a16:creationId xmlns:a16="http://schemas.microsoft.com/office/drawing/2014/main" id="{3C37FED3-C244-779A-0464-EF389D23BB78}"/>
            </a:ext>
          </a:extLst>
        </cdr:cNvPr>
        <cdr:cNvSpPr txBox="1"/>
      </cdr:nvSpPr>
      <cdr:spPr>
        <a:xfrm xmlns:a="http://schemas.openxmlformats.org/drawingml/2006/main">
          <a:off x="260350" y="228600"/>
          <a:ext cx="914400" cy="2349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0.00499</cdr:x>
      <cdr:y>0</cdr:y>
    </cdr:from>
    <cdr:to>
      <cdr:x>0.99667</cdr:x>
      <cdr:y>0.15142</cdr:y>
    </cdr:to>
    <cdr:sp macro="" textlink="">
      <cdr:nvSpPr>
        <cdr:cNvPr id="2" name="TextBox 1">
          <a:extLst xmlns:a="http://schemas.openxmlformats.org/drawingml/2006/main">
            <a:ext uri="{FF2B5EF4-FFF2-40B4-BE49-F238E27FC236}">
              <a16:creationId xmlns:a16="http://schemas.microsoft.com/office/drawing/2014/main" id="{1B54D3A9-233C-F320-F1AF-F4D5452EC029}"/>
            </a:ext>
          </a:extLst>
        </cdr:cNvPr>
        <cdr:cNvSpPr txBox="1"/>
      </cdr:nvSpPr>
      <cdr:spPr>
        <a:xfrm xmlns:a="http://schemas.openxmlformats.org/drawingml/2006/main">
          <a:off x="19050" y="0"/>
          <a:ext cx="378460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740128819445" createdVersion="5" refreshedVersion="8" minRefreshableVersion="3" recordCount="0" supportSubquery="1" supportAdvancedDrill="1" xr:uid="{214E1046-A613-474D-BCEE-43C641D834F5}">
  <cacheSource type="external" connectionId="2"/>
  <cacheFields count="2">
    <cacheField name="[Sales Dataset].[PaymentMode].[PaymentMode]" caption="PaymentMode" numFmtId="0" hierarchy="6" level="1">
      <sharedItems count="5">
        <s v="COD"/>
        <s v="Credit Card"/>
        <s v="Debit Card"/>
        <s v="EMI"/>
        <s v="UPI"/>
      </sharedItems>
    </cacheField>
    <cacheField name="[Measures].[Sum of Quantity]" caption="Sum of Quantity" numFmtId="0" hierarchy="22" level="32767"/>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0"/>
      </fieldsUsage>
    </cacheHierarchy>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08379166664" createdVersion="5" refreshedVersion="8" minRefreshableVersion="3" recordCount="0" supportSubquery="1" supportAdvancedDrill="1" xr:uid="{BE8F8E29-C1EF-4F7A-81F7-14AFA06287B5}">
  <cacheSource type="external" connectionId="2"/>
  <cacheFields count="4">
    <cacheField name="[Sales Dataset].[Year].[Year]" caption="Year" numFmtId="0" hierarchy="10"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Sales Dataset].[Year].&amp;[2024]"/>
          </x15:cachedUniqueNames>
        </ext>
      </extLst>
    </cacheField>
    <cacheField name="[Measures].[Sum of Amount]" caption="Sum of Amount" numFmtId="0" hierarchy="20" level="32767"/>
    <cacheField name="[Sales Dataset].[PaymentMode].[PaymentMode]" caption="PaymentMode" numFmtId="0" hierarchy="6" level="1">
      <sharedItems containsSemiMixedTypes="0" containsNonDate="0" containsString="0"/>
    </cacheField>
    <cacheField name="[Sales Dataset].[Month Name].[Month Name]" caption="Month Name" numFmtId="0" hierarchy="11" level="1">
      <sharedItems count="12">
        <s v="April"/>
        <s v="August"/>
        <s v="December"/>
        <s v="February"/>
        <s v="January"/>
        <s v="July"/>
        <s v="June"/>
        <s v="March"/>
        <s v="May"/>
        <s v="November"/>
        <s v="October"/>
        <s v="September"/>
      </sharedItems>
    </cacheField>
  </cacheFields>
  <cacheHierarchies count="25">
    <cacheHierarchy uniqueName="[Sales Dataset].[Order ID]" caption="Order ID" attribute="1" defaultMemberUniqueName="[Sales Dataset].[Order ID].[All]" allUniqueName="[Sales Dataset].[Order ID].[All]" dimensionUniqueName="[Sales Dataset]" displayFolder="" count="2" memberValueDatatype="130" unbalanced="0"/>
    <cacheHierarchy uniqueName="[Sales Dataset].[Amount]" caption="Amount" attribute="1" defaultMemberUniqueName="[Sales Dataset].[Amount].[All]" allUniqueName="[Sales Dataset].[Amount].[All]" dimensionUniqueName="[Sales Dataset]" displayFolder="" count="2" memberValueDatatype="20" unbalanced="0"/>
    <cacheHierarchy uniqueName="[Sales Dataset].[Profit]" caption="Profit" attribute="1" defaultMemberUniqueName="[Sales Dataset].[Profit].[All]" allUniqueName="[Sales Dataset].[Profit].[All]" dimensionUniqueName="[Sales Dataset]" displayFolder="" count="2" memberValueDatatype="20" unbalanced="0"/>
    <cacheHierarchy uniqueName="[Sales Dataset].[Quantity]" caption="Quantity" attribute="1" defaultMemberUniqueName="[Sales Dataset].[Quantity].[All]" allUniqueName="[Sales Dataset].[Quantity].[All]" dimensionUniqueName="[Sales Dataset]" displayFolder="" count="2"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2"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2"/>
      </fieldsUsage>
    </cacheHierarchy>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2"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Year]" caption="Year" attribute="1" defaultMemberUniqueName="[Sales Dataset].[Year].[All]" allUniqueName="[Sales Dataset].[Year].[All]" dimensionUniqueName="[Sales Dataset]" displayFolder="" count="2" memberValueDatatype="20" unbalanced="0">
      <fieldsUsage count="2">
        <fieldUsage x="-1"/>
        <fieldUsage x="0"/>
      </fieldsUsage>
    </cacheHierarchy>
    <cacheHierarchy uniqueName="[Sales Dataset].[Month Name]" caption="Month Name" attribute="1" defaultMemberUniqueName="[Sales Dataset].[Month Name].[All]" allUniqueName="[Sales Dataset].[Month Name].[All]" dimensionUniqueName="[Sales Dataset]" displayFolder="" count="2" memberValueDatatype="130" unbalanced="0">
      <fieldsUsage count="2">
        <fieldUsage x="-1"/>
        <fieldUsage x="3"/>
      </fieldsUsage>
    </cacheHierarchy>
    <cacheHierarchy uniqueName="[Sales Dataset].[Order Date (Year)]" caption="Order Date (Year)" attribute="1" defaultMemberUniqueName="[Sales Dataset].[Order Date (Year)].[All]" allUniqueName="[Sales Dataset].[Order Date (Year)].[All]" dimensionUniqueName="[Sales Dataset]" displayFolder="" count="2"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2"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2"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2"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08379513887" createdVersion="5" refreshedVersion="8" minRefreshableVersion="3" recordCount="0" supportSubquery="1" supportAdvancedDrill="1" xr:uid="{1A61EFEF-8EE3-4DB9-A537-B62735A03A7A}">
  <cacheSource type="external" connectionId="2"/>
  <cacheFields count="4">
    <cacheField name="[Sales Dataset].[Year].[Year]" caption="Year" numFmtId="0" hierarchy="10" level="1">
      <sharedItems containsSemiMixedTypes="0" containsNonDate="0" containsString="0"/>
    </cacheField>
    <cacheField name="[Sales Dataset].[Category].[Category]" caption="Category" numFmtId="0" hierarchy="4" level="1">
      <sharedItems count="3">
        <s v="Electronics"/>
        <s v="Furniture"/>
        <s v="Office Supplies"/>
      </sharedItems>
    </cacheField>
    <cacheField name="[Sales Dataset].[PaymentMode].[PaymentMode]" caption="PaymentMode" numFmtId="0" hierarchy="6" level="1">
      <sharedItems containsSemiMixedTypes="0" containsNonDate="0" containsString="0"/>
    </cacheField>
    <cacheField name="[Measures].[Sum of Amount]" caption="Sum of Amount" numFmtId="0" hierarchy="20" level="32767"/>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fieldsUsage count="2">
        <fieldUsage x="-1"/>
        <fieldUsage x="1"/>
      </fieldsUsage>
    </cacheHierarchy>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2"/>
      </fieldsUsage>
    </cacheHierarchy>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2" memberValueDatatype="20" unbalanced="0">
      <fieldsUsage count="2">
        <fieldUsage x="-1"/>
        <fieldUsage x="0"/>
      </fieldsUsage>
    </cacheHierarchy>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08379976849" createdVersion="5" refreshedVersion="8" minRefreshableVersion="3" recordCount="0" supportSubquery="1" supportAdvancedDrill="1" xr:uid="{5B6E9476-D982-42ED-9B61-FF627FAC7088}">
  <cacheSource type="external" connectionId="2"/>
  <cacheFields count="4">
    <cacheField name="[Sales Dataset].[Year].[Year]" caption="Year" numFmtId="0" hierarchy="10" level="1">
      <sharedItems containsSemiMixedTypes="0" containsNonDate="0" containsString="0"/>
    </cacheField>
    <cacheField name="[Sales Dataset].[PaymentMode].[PaymentMode]" caption="PaymentMode" numFmtId="0" hierarchy="6" level="1">
      <sharedItems containsSemiMixedTypes="0" containsNonDate="0" containsString="0"/>
    </cacheField>
    <cacheField name="[Measures].[Sum of Profit]" caption="Sum of Profit" numFmtId="0" hierarchy="21" level="32767"/>
    <cacheField name="[Sales Dataset].[Category].[Category]" caption="Category" numFmtId="0" hierarchy="4" level="1">
      <sharedItems count="3">
        <s v="Electronics"/>
        <s v="Furniture"/>
        <s v="Office Supplies"/>
      </sharedItems>
    </cacheField>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fieldsUsage count="2">
        <fieldUsage x="-1"/>
        <fieldUsage x="3"/>
      </fieldsUsage>
    </cacheHierarchy>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1"/>
      </fieldsUsage>
    </cacheHierarchy>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2" memberValueDatatype="20" unbalanced="0">
      <fieldsUsage count="2">
        <fieldUsage x="-1"/>
        <fieldUsage x="0"/>
      </fieldsUsage>
    </cacheHierarchy>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08380439818" createdVersion="5" refreshedVersion="8" minRefreshableVersion="3" recordCount="0" supportSubquery="1" supportAdvancedDrill="1" xr:uid="{58F5A347-79CA-4F1A-8270-2CAE7A3D26CE}">
  <cacheSource type="external" connectionId="2"/>
  <cacheFields count="3">
    <cacheField name="[Sales Dataset].[Category].[Category]" caption="Category" numFmtId="0" hierarchy="4" level="1">
      <sharedItems count="3">
        <s v="Electronics"/>
        <s v="Furniture"/>
        <s v="Office Supplies"/>
      </sharedItems>
    </cacheField>
    <cacheField name="[Measures].[Sum of Amount]" caption="Sum of Amount" numFmtId="0" hierarchy="20" level="32767"/>
    <cacheField name="[Sales Dataset].[PaymentMode].[PaymentMode]" caption="PaymentMode" numFmtId="0" hierarchy="6" level="1">
      <sharedItems containsSemiMixedTypes="0" containsNonDate="0" containsString="0"/>
    </cacheField>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fieldsUsage count="2">
        <fieldUsage x="-1"/>
        <fieldUsage x="0"/>
      </fieldsUsage>
    </cacheHierarchy>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2"/>
      </fieldsUsage>
    </cacheHierarchy>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0838090278" createdVersion="5" refreshedVersion="8" minRefreshableVersion="3" recordCount="0" supportSubquery="1" supportAdvancedDrill="1" xr:uid="{22A42024-23C2-4161-8EEC-65068CBC6D32}">
  <cacheSource type="external" connectionId="2"/>
  <cacheFields count="4">
    <cacheField name="[Sales Dataset].[Category].[Category]" caption="Category" numFmtId="0" hierarchy="4" level="1">
      <sharedItems count="3">
        <s v="Electronics"/>
        <s v="Furniture"/>
        <s v="Office Supplies"/>
      </sharedItems>
    </cacheField>
    <cacheField name="[Measures].[Sum of Profit]" caption="Sum of Profit" numFmtId="0" hierarchy="21" level="32767"/>
    <cacheField name="[Sales Dataset].[Year].[Year]" caption="Year" numFmtId="0" hierarchy="10" level="1">
      <sharedItems containsSemiMixedTypes="0" containsNonDate="0" containsString="0"/>
    </cacheField>
    <cacheField name="[Sales Dataset].[PaymentMode].[PaymentMode]" caption="PaymentMode" numFmtId="0" hierarchy="6" level="1">
      <sharedItems containsSemiMixedTypes="0" containsNonDate="0" containsString="0"/>
    </cacheField>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fieldsUsage count="2">
        <fieldUsage x="-1"/>
        <fieldUsage x="0"/>
      </fieldsUsage>
    </cacheHierarchy>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3"/>
      </fieldsUsage>
    </cacheHierarchy>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2" memberValueDatatype="20" unbalanced="0">
      <fieldsUsage count="2">
        <fieldUsage x="-1"/>
        <fieldUsage x="2"/>
      </fieldsUsage>
    </cacheHierarchy>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08381250003" createdVersion="5" refreshedVersion="8" minRefreshableVersion="3" recordCount="0" supportSubquery="1" supportAdvancedDrill="1" xr:uid="{89FB7E74-3A83-496D-A7D3-686CC9B2515C}">
  <cacheSource type="external" connectionId="2"/>
  <cacheFields count="4">
    <cacheField name="[Sales Dataset].[State].[State]" caption="State" numFmtId="0" hierarchy="9" level="1">
      <sharedItems count="6">
        <s v="California"/>
        <s v="Florida"/>
        <s v="Illinois"/>
        <s v="New York"/>
        <s v="Ohio"/>
        <s v="Texas"/>
      </sharedItems>
    </cacheField>
    <cacheField name="[Measures].[Sum of Amount]" caption="Sum of Amount" numFmtId="0" hierarchy="20" level="32767"/>
    <cacheField name="[Sales Dataset].[Year].[Year]" caption="Year" numFmtId="0" hierarchy="10" level="1">
      <sharedItems containsSemiMixedTypes="0" containsNonDate="0" containsString="0"/>
    </cacheField>
    <cacheField name="[Sales Dataset].[PaymentMode].[PaymentMode]" caption="PaymentMode" numFmtId="0" hierarchy="6" level="1">
      <sharedItems containsSemiMixedTypes="0" containsNonDate="0" containsString="0"/>
    </cacheField>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3"/>
      </fieldsUsage>
    </cacheHierarchy>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fieldsUsage count="2">
        <fieldUsage x="-1"/>
        <fieldUsage x="0"/>
      </fieldsUsage>
    </cacheHierarchy>
    <cacheHierarchy uniqueName="[Sales Dataset].[Year]" caption="Year" attribute="1" defaultMemberUniqueName="[Sales Dataset].[Year].[All]" allUniqueName="[Sales Dataset].[Year].[All]" dimensionUniqueName="[Sales Dataset]" displayFolder="" count="2" memberValueDatatype="20" unbalanced="0">
      <fieldsUsage count="2">
        <fieldUsage x="-1"/>
        <fieldUsage x="2"/>
      </fieldsUsage>
    </cacheHierarchy>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08381712965" createdVersion="5" refreshedVersion="8" minRefreshableVersion="3" recordCount="0" supportSubquery="1" supportAdvancedDrill="1" xr:uid="{A3E293D8-0E0F-4C6D-B918-BFCA07E04DD0}">
  <cacheSource type="external" connectionId="2"/>
  <cacheFields count="4">
    <cacheField name="[Sales Dataset].[Order Date (Month)].[Order Date (Month)]" caption="Order Date (Month)" numFmtId="0" hierarchy="14" level="1">
      <sharedItems count="12">
        <s v="Jan"/>
        <s v="Feb"/>
        <s v="Mar"/>
        <s v="Apr"/>
        <s v="May"/>
        <s v="Jun"/>
        <s v="Jul"/>
        <s v="Aug"/>
        <s v="Sep"/>
        <s v="Oct"/>
        <s v="Nov"/>
        <s v="Dec"/>
      </sharedItems>
    </cacheField>
    <cacheField name="[Measures].[Sum of Amount]" caption="Sum of Amount" numFmtId="0" hierarchy="20" level="32767"/>
    <cacheField name="[Measures].[Sum of Profit]" caption="Sum of Profit" numFmtId="0" hierarchy="21" level="32767"/>
    <cacheField name="[Sales Dataset].[PaymentMode].[PaymentMode]" caption="PaymentMode" numFmtId="0" hierarchy="6" level="1">
      <sharedItems containsSemiMixedTypes="0" containsNonDate="0" containsString="0"/>
    </cacheField>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3"/>
      </fieldsUsage>
    </cacheHierarchy>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2" memberValueDatatype="130" unbalanced="0">
      <fieldsUsage count="2">
        <fieldUsage x="-1"/>
        <fieldUsage x="0"/>
      </fieldsUsage>
    </cacheHierarchy>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08382407404" createdVersion="5" refreshedVersion="8" minRefreshableVersion="3" recordCount="0" supportSubquery="1" supportAdvancedDrill="1" xr:uid="{0EFEC377-263E-4201-8F9F-08DBEBCC7409}">
  <cacheSource type="external" connectionId="2"/>
  <cacheFields count="3">
    <cacheField name="[Sales Dataset].[Year].[Year]" caption="Year" numFmtId="0" hierarchy="10" level="1">
      <sharedItems containsSemiMixedTypes="0" containsNonDate="0" containsString="0"/>
    </cacheField>
    <cacheField name="[Sales Dataset].[PaymentMode].[PaymentMode]" caption="PaymentMode" numFmtId="0" hierarchy="6" level="1">
      <sharedItems count="5">
        <s v="COD"/>
        <s v="Credit Card"/>
        <s v="Debit Card"/>
        <s v="EMI"/>
        <s v="UPI"/>
      </sharedItems>
    </cacheField>
    <cacheField name="[Measures].[Sum of Amount]" caption="Sum of Amount" numFmtId="0" hierarchy="20" level="32767"/>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2"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1"/>
      </fieldsUsage>
    </cacheHierarchy>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2" memberValueDatatype="20" unbalanced="0">
      <fieldsUsage count="2">
        <fieldUsage x="-1"/>
        <fieldUsage x="0"/>
      </fieldsUsage>
    </cacheHierarchy>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1674212963" createdVersion="5" refreshedVersion="8" minRefreshableVersion="3" recordCount="0" supportSubquery="1" supportAdvancedDrill="1" xr:uid="{037ED068-E038-436B-A4CC-E945B31502CC}">
  <cacheSource type="external" connectionId="2"/>
  <cacheFields count="2">
    <cacheField name="[Sales Dataset].[Sub-Category].[Sub-Category]" caption="Sub-Category" numFmtId="0" hierarchy="5" level="1">
      <sharedItems count="5">
        <s v="Electronic Games"/>
        <s v="Markers"/>
        <s v="Printers"/>
        <s v="Sofas"/>
        <s v="Tables"/>
      </sharedItems>
    </cacheField>
    <cacheField name="[Measures].[Sum of Amount]" caption="Sum of Amount" numFmtId="0" hierarchy="20" level="32767"/>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2" memberValueDatatype="130" unbalanced="0">
      <fieldsUsage count="2">
        <fieldUsage x="-1"/>
        <fieldUsage x="0"/>
      </fieldsUsage>
    </cacheHierarchy>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31692939812" createdVersion="5" refreshedVersion="8" minRefreshableVersion="3" recordCount="0" supportSubquery="1" supportAdvancedDrill="1" xr:uid="{46DA51D0-0D06-42A6-B1F8-5D9ADFEAC030}">
  <cacheSource type="external" connectionId="2"/>
  <cacheFields count="5">
    <cacheField name="[Measures].[Count of Order ID]" caption="Count of Order ID" numFmtId="0" hierarchy="18" level="32767"/>
    <cacheField name="[Measures].[Sum of Amount]" caption="Sum of Amount" numFmtId="0" hierarchy="20" level="32767"/>
    <cacheField name="[Measures].[Sum of Profit]" caption="Sum of Profit" numFmtId="0" hierarchy="21" level="32767"/>
    <cacheField name="[Measures].[Sum of Quantity]" caption="Sum of Quantity" numFmtId="0" hierarchy="22" level="32767"/>
    <cacheField name="[Measures].[Average of Amount]" caption="Average of Amount" numFmtId="0" hierarchy="24" level="32767"/>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oneField="1" hidden="1">
      <fieldsUsage count="1">
        <fieldUsage x="4"/>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55278125002" createdVersion="5" refreshedVersion="8" minRefreshableVersion="3" recordCount="0" supportSubquery="1" supportAdvancedDrill="1" xr:uid="{2C8DE1BC-F43E-4861-8DA1-C9913EF82BEA}">
  <cacheSource type="external" connectionId="2"/>
  <cacheFields count="5">
    <cacheField name="[Measures].[Sum of Amount]" caption="Sum of Amount" numFmtId="0" hierarchy="20" level="32767"/>
    <cacheField name="[Measures].[Sum of Profit]" caption="Sum of Profit" numFmtId="0" hierarchy="21" level="32767"/>
    <cacheField name="[Measures].[Count of Order ID]" caption="Count of Order ID" numFmtId="0" hierarchy="18" level="32767"/>
    <cacheField name="[Sales Dataset].[State].[State]" caption="State" numFmtId="0" hierarchy="9" level="1">
      <sharedItems count="5">
        <s v="California"/>
        <s v="Florida"/>
        <s v="Illinois"/>
        <s v="New York"/>
        <s v="Texas"/>
      </sharedItems>
    </cacheField>
    <cacheField name="[Measures].[Sum of Quantity]" caption="Sum of Quantity" numFmtId="0" hierarchy="22" level="32767"/>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fieldsUsage count="2">
        <fieldUsage x="-1"/>
        <fieldUsage x="3"/>
      </fieldsUsage>
    </cacheHierarchy>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oneField="1" hidden="1">
      <fieldsUsage count="1">
        <fieldUsage x="4"/>
      </fieldsUsage>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955278125002" createdVersion="5" refreshedVersion="8" minRefreshableVersion="3" recordCount="0" supportSubquery="1" supportAdvancedDrill="1" xr:uid="{400E9675-1D33-4FE0-8794-80B6309C6F68}">
  <cacheSource type="external" connectionId="2"/>
  <cacheFields count="5">
    <cacheField name="[Measures].[Sum of Amount]" caption="Sum of Amount" numFmtId="0" hierarchy="20" level="32767"/>
    <cacheField name="[Measures].[Sum of Profit]" caption="Sum of Profit" numFmtId="0" hierarchy="21" level="32767"/>
    <cacheField name="[Measures].[Count of Order ID]" caption="Count of Order ID" numFmtId="0" hierarchy="18" level="32767"/>
    <cacheField name="[Sales Dataset].[State].[State]" caption="State" numFmtId="0" hierarchy="9" level="1">
      <sharedItems count="5">
        <s v="California"/>
        <s v="Florida"/>
        <s v="Illinois"/>
        <s v="New York"/>
        <s v="Texas"/>
      </sharedItems>
    </cacheField>
    <cacheField name="[Measures].[Sum of Quantity]" caption="Sum of Quantity" numFmtId="0" hierarchy="22" level="32767"/>
  </cacheFields>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fieldsUsage count="2">
        <fieldUsage x="-1"/>
        <fieldUsage x="3"/>
      </fieldsUsage>
    </cacheHierarchy>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oneField="1" hidden="1">
      <fieldsUsage count="1">
        <fieldUsage x="4"/>
      </fieldsUsage>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833198148146" createdVersion="3" refreshedVersion="8" minRefreshableVersion="3" recordCount="0" supportSubquery="1" supportAdvancedDrill="1" xr:uid="{FA9845FB-1005-4437-804B-7242DA71F4D9}">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2"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489659667"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3.866409722221" createdVersion="3" refreshedVersion="8" minRefreshableVersion="3" recordCount="0" supportSubquery="1" supportAdvancedDrill="1" xr:uid="{A927FD31-6E4F-46CB-91E1-EB6666016216}">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y uniqueName="[Measures].[Count of Order ID]" caption="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 Dataset"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Sales Dataset"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Sales Dataset"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Sales Dataset" count="0" hidden="1">
      <extLst>
        <ext xmlns:x15="http://schemas.microsoft.com/office/spreadsheetml/2010/11/main" uri="{B97F6D7D-B522-45F9-BDA1-12C45D357490}">
          <x15:cacheHierarchy aggregatedColumn="10"/>
        </ext>
      </extLst>
    </cacheHierarchy>
    <cacheHierarchy uniqueName="[Measures].[Average of Amount]" caption="Average of Amount" measure="1" displayFolder="" measureGroup="Sales Dataset"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5715174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2465BD-E999-4F4D-B578-68B247F6C9CA}" name="PivotTable28" cacheId="1668" applyNumberFormats="0" applyBorderFormats="0" applyFontFormats="0" applyPatternFormats="0" applyAlignmentFormats="0" applyWidthHeightFormats="1" dataCaption="Values" tag="7bd92de8-4b82-4d99-9f04-d1bbff27d899" updatedVersion="8" minRefreshableVersion="3" useAutoFormatting="1" rowGrandTotals="0" colGrandTotals="0" itemPrintTitles="1" createdVersion="5" indent="0" compact="0" compactData="0" multipleFieldFilters="0">
  <location ref="E55:I60"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measureFilter="1" defaultSubtotal="0" defaultAttributeDrillState="1">
      <items count="5">
        <item x="0"/>
        <item x="1"/>
        <item x="2"/>
        <item x="3"/>
        <item x="4"/>
      </items>
    </pivotField>
    <pivotField dataField="1" compact="0" outline="0" subtotalTop="0" showAll="0" defaultSubtotal="0"/>
  </pivotFields>
  <rowFields count="1">
    <field x="3"/>
  </rowFields>
  <rowItems count="5">
    <i>
      <x/>
    </i>
    <i>
      <x v="1"/>
    </i>
    <i>
      <x v="2"/>
    </i>
    <i>
      <x v="3"/>
    </i>
    <i>
      <x v="4"/>
    </i>
  </rowItems>
  <colFields count="1">
    <field x="-2"/>
  </colFields>
  <colItems count="4">
    <i>
      <x/>
    </i>
    <i i="1">
      <x v="1"/>
    </i>
    <i i="2">
      <x v="2"/>
    </i>
    <i i="3">
      <x v="3"/>
    </i>
  </colItems>
  <dataFields count="4">
    <dataField name="Sales" fld="0" baseField="3" baseItem="0"/>
    <dataField name="Profit" fld="1" baseField="3" baseItem="0"/>
    <dataField name="Orders" fld="2" subtotal="count" baseField="3" baseItem="0"/>
    <dataField name="Quantity" fld="4" baseField="3"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Orders"/>
    <pivotHierarchy dragToData="1"/>
    <pivotHierarchy dragToData="1" caption="Sales"/>
    <pivotHierarchy dragToData="1" caption="Profit"/>
    <pivotHierarchy dragToData="1" caption="Quantity"/>
    <pivotHierarchy dragToData="1"/>
    <pivotHierarchy dragToData="1"/>
  </pivotHierarchies>
  <pivotTableStyleInfo name="PivotStyleDark7" showRowHeaders="1" showColHeaders="1" showRowStripes="1" showColStripes="0" showLastColumn="1"/>
  <filters count="1">
    <filter fld="3" type="count" id="1" iMeasureHier="20">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A43989-234A-4A93-877B-460AE97E8457}" name="PivotTable27" cacheId="1442" applyNumberFormats="0" applyBorderFormats="0" applyFontFormats="0" applyPatternFormats="0" applyAlignmentFormats="0" applyWidthHeightFormats="1" dataCaption="Values" tag="ebbab315-9d79-4cf6-af2b-6b3816aed6c8" updatedVersion="8" minRefreshableVersion="3" useAutoFormatting="1" itemPrintTitles="1" createdVersion="5" indent="0" outline="1" outlineData="1" multipleFieldFilters="0" chartFormat="11">
  <location ref="G27:H33"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Amount" fld="1" baseField="0" baseItem="0"/>
  </dataFields>
  <chartFormats count="6">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0"/>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 chart="10" format="15">
      <pivotArea type="data" outline="0" fieldPosition="0">
        <references count="2">
          <reference field="4294967294" count="1" selected="0">
            <x v="0"/>
          </reference>
          <reference field="0" count="1" selected="0">
            <x v="2"/>
          </reference>
        </references>
      </pivotArea>
    </chartFormat>
    <chartFormat chart="10" format="16">
      <pivotArea type="data" outline="0" fieldPosition="0">
        <references count="2">
          <reference field="4294967294" count="1" selected="0">
            <x v="0"/>
          </reference>
          <reference field="0" count="1" selected="0">
            <x v="3"/>
          </reference>
        </references>
      </pivotArea>
    </chartFormat>
    <chartFormat chart="10" format="17">
      <pivotArea type="data" outline="0" fieldPosition="0">
        <references count="2">
          <reference field="4294967294" count="1" selected="0">
            <x v="0"/>
          </reference>
          <reference field="0" count="1" selected="0">
            <x v="4"/>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7A3C45-9F3C-43CF-A70C-FE5112C0CB1E}" name="PivotTable25" cacheId="1595" applyNumberFormats="0" applyBorderFormats="0" applyFontFormats="0" applyPatternFormats="0" applyAlignmentFormats="0" applyWidthHeightFormats="1" dataCaption="Values" tag="98d926d7-07e3-498b-8aa2-74039f1b91cf" updatedVersion="8" minRefreshableVersion="3" useAutoFormatting="1" subtotalHiddenItems="1" itemPrintTitles="1" createdVersion="5" indent="0" outline="1" outlineData="1" multipleFieldFilters="0">
  <location ref="E47:I4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Count of Order ID" fld="0" subtotal="count" baseField="0" baseItem="0"/>
    <dataField name="Sum of Amount" fld="1" baseField="0" baseItem="0" numFmtId="169"/>
    <dataField name="Sum of Profit" fld="2" baseField="0" baseItem="0" numFmtId="169"/>
    <dataField name="Sum of Quantity" fld="3" baseField="0" baseItem="0"/>
    <dataField name="Average of Amount2" fld="4" subtotal="average" baseField="0" baseItem="1" numFmtId="2"/>
  </dataFields>
  <formats count="3">
    <format dxfId="147">
      <pivotArea outline="0" collapsedLevelsAreSubtotals="1" fieldPosition="0">
        <references count="1">
          <reference field="4294967294" count="1" selected="0">
            <x v="1"/>
          </reference>
        </references>
      </pivotArea>
    </format>
    <format dxfId="146">
      <pivotArea outline="0" collapsedLevelsAreSubtotals="1" fieldPosition="0">
        <references count="1">
          <reference field="4294967294" count="1" selected="0">
            <x v="2"/>
          </reference>
        </references>
      </pivotArea>
    </format>
    <format dxfId="145">
      <pivotArea outline="0" collapsedLevelsAreSubtotals="1" fieldPosition="0">
        <references count="1">
          <reference field="4294967294" count="1" selected="0">
            <x v="4"/>
          </reference>
        </references>
      </pivotArea>
    </format>
  </formats>
  <pivotHierarchies count="2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mount2"/>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FC375B-D989-4891-98D7-B86432A38507}" name="PivotTable23" cacheId="1425" applyNumberFormats="0" applyBorderFormats="0" applyFontFormats="0" applyPatternFormats="0" applyAlignmentFormats="0" applyWidthHeightFormats="1" dataCaption="Values" tag="dbcd0c17-508b-4746-9b54-77a80ae99a8a" updatedVersion="8" minRefreshableVersion="3" useAutoFormatting="1" subtotalHiddenItems="1" itemPrintTitles="1" createdVersion="5" indent="0" outline="1" outlineData="1" multipleFieldFilters="0">
  <location ref="A47:C60"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Amount" fld="1" baseField="0" baseItem="0"/>
    <dataField name="Sum of Profit" fld="2" baseField="0" baseItem="0"/>
  </dataFields>
  <pivotHierarchies count="2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00F39E-9968-4ADE-8B1D-19B508CCC8DD}" name="PivotTable19" cacheId="1407" applyNumberFormats="0" applyBorderFormats="0" applyFontFormats="0" applyPatternFormats="0" applyAlignmentFormats="0" applyWidthHeightFormats="1" dataCaption="Values" tag="b9250138-efaa-4c85-82f2-3ac0ce05376f" updatedVersion="8" minRefreshableVersion="3" useAutoFormatting="1" subtotalHiddenItems="1" itemPrintTitles="1" createdVersion="5" indent="0" outline="1" outlineData="1" multipleFieldFilters="0" chartFormat="14">
  <location ref="D27:E40" firstHeaderRow="1" firstDataRow="1" firstDataCol="1"/>
  <pivotFields count="4">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3"/>
  </rowFields>
  <rowItems count="13">
    <i>
      <x/>
    </i>
    <i>
      <x v="1"/>
    </i>
    <i>
      <x v="2"/>
    </i>
    <i>
      <x v="3"/>
    </i>
    <i>
      <x v="4"/>
    </i>
    <i>
      <x v="5"/>
    </i>
    <i>
      <x v="6"/>
    </i>
    <i>
      <x v="7"/>
    </i>
    <i>
      <x v="8"/>
    </i>
    <i>
      <x v="9"/>
    </i>
    <i>
      <x v="10"/>
    </i>
    <i>
      <x v="11"/>
    </i>
    <i t="grand">
      <x/>
    </i>
  </rowItems>
  <colItems count="1">
    <i/>
  </colItems>
  <dataFields count="1">
    <dataField name="Montly Sales Trend" fld="1" baseField="3" baseItem="0"/>
  </dataFields>
  <chartFormats count="1">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Montly Sales Tren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2D1BF4-957C-4D08-ADFC-120F8C633E74}" name="PivotTable18" cacheId="346" applyNumberFormats="0" applyBorderFormats="0" applyFontFormats="0" applyPatternFormats="0" applyAlignmentFormats="0" applyWidthHeightFormats="1" dataCaption="Values" tag="458b0ade-8469-4d0f-a5fd-d32f08e1d560" updatedVersion="8" minRefreshableVersion="3" useAutoFormatting="1" itemPrintTitles="1" createdVersion="5" indent="0" outline="1" outlineData="1" multipleFieldFilters="0">
  <location ref="A27:B3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Quantity" fld="1"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7A653A-F436-4ABA-8C01-4D65ACD2E0C2}" name="PivotTable17" cacheId="1431" applyNumberFormats="0" applyBorderFormats="0" applyFontFormats="0" applyPatternFormats="0" applyAlignmentFormats="0" applyWidthHeightFormats="1" dataCaption="Values" tag="e105f910-c468-4082-9b8e-76b722243bdc" updatedVersion="8" minRefreshableVersion="3" useAutoFormatting="1" subtotalHiddenItems="1" itemPrintTitles="1" createdVersion="5" indent="0" outline="1" outlineData="1" multipleFieldFilters="0" chartFormat="12">
  <location ref="G12:H1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Sum of Amount" fld="2" baseField="0" baseItem="0"/>
  </dataFields>
  <chartFormats count="7">
    <chartFormat chart="5" format="11"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 count="1" selected="0">
            <x v="0"/>
          </reference>
        </references>
      </pivotArea>
    </chartFormat>
    <chartFormat chart="11" format="15">
      <pivotArea type="data" outline="0" fieldPosition="0">
        <references count="2">
          <reference field="4294967294" count="1" selected="0">
            <x v="0"/>
          </reference>
          <reference field="1" count="1" selected="0">
            <x v="1"/>
          </reference>
        </references>
      </pivotArea>
    </chartFormat>
    <chartFormat chart="11" format="16">
      <pivotArea type="data" outline="0" fieldPosition="0">
        <references count="2">
          <reference field="4294967294" count="1" selected="0">
            <x v="0"/>
          </reference>
          <reference field="1" count="1" selected="0">
            <x v="2"/>
          </reference>
        </references>
      </pivotArea>
    </chartFormat>
    <chartFormat chart="11" format="17">
      <pivotArea type="data" outline="0" fieldPosition="0">
        <references count="2">
          <reference field="4294967294" count="1" selected="0">
            <x v="0"/>
          </reference>
          <reference field="1" count="1" selected="0">
            <x v="3"/>
          </reference>
        </references>
      </pivotArea>
    </chartFormat>
    <chartFormat chart="11" format="18">
      <pivotArea type="data" outline="0" fieldPosition="0">
        <references count="2">
          <reference field="4294967294" count="1" selected="0">
            <x v="0"/>
          </reference>
          <reference field="1" count="1" selected="0">
            <x v="4"/>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Sales Dataset].[Year].&amp;[202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430471-053C-4B23-B415-0507E1871191}" name="PivotTable14" cacheId="1422" applyNumberFormats="0" applyBorderFormats="0" applyFontFormats="0" applyPatternFormats="0" applyAlignmentFormats="0" applyWidthHeightFormats="1" dataCaption="Values" tag="cc755a40-5d7c-41a3-a8a7-63c4d8e303ac" updatedVersion="8" minRefreshableVersion="3" useAutoFormatting="1" subtotalHiddenItems="1" itemPrintTitles="1" createdVersion="5" indent="0" outline="1" outlineData="1" multipleFieldFilters="0">
  <location ref="D12:E19"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baseField="0" baseItem="0"/>
  </dataField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Sales Dataset].[Year].&amp;[202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11F039-ED93-4A7A-B08E-3F4577305CC1}" name="PivotTable13" cacheId="1419" applyNumberFormats="0" applyBorderFormats="0" applyFontFormats="0" applyPatternFormats="0" applyAlignmentFormats="0" applyWidthHeightFormats="1" dataCaption="Values" tag="7d3593dd-3872-48f1-97ff-eeeb6967c200" updatedVersion="8" minRefreshableVersion="3" useAutoFormatting="1" subtotalHiddenItems="1" itemPrintTitles="1" createdVersion="5" indent="0" outline="1" outlineData="1" multipleFieldFilters="0">
  <location ref="A19:B23"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Sales Dataset].[Year].&amp;[202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F2F2A8-926F-41CA-A891-1047107CFE52}" name="PivotTable12" cacheId="1416" applyNumberFormats="0" applyBorderFormats="0" applyFontFormats="0" applyPatternFormats="0" applyAlignmentFormats="0" applyWidthHeightFormats="1" dataCaption="Values" tag="f50fafeb-25cc-4c69-a236-8f59830500fa" updatedVersion="8" minRefreshableVersion="3" useAutoFormatting="1" subtotalHiddenItems="1" itemPrintTitles="1" createdVersion="5" indent="0" outline="1" outlineData="1" multipleFieldFilters="0">
  <location ref="A12:B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2355C0-E22D-4B18-A186-239DEDE98994}" name="PivotTable11" cacheId="1413" applyNumberFormats="0" applyBorderFormats="0" applyFontFormats="0" applyPatternFormats="0" applyAlignmentFormats="0" applyWidthHeightFormats="1" dataCaption="Values" tag="2309bb2a-fe4e-4839-aaa9-debb8f3fce0c" updatedVersion="8" minRefreshableVersion="3" subtotalHiddenItems="1" itemPrintTitles="1" createdVersion="5" indent="0" outline="1" outlineData="1" multipleFieldFilters="0" chartFormat="11">
  <location ref="A3:B7"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Profit" fld="2" baseField="0" baseItem="0"/>
  </dataFields>
  <chartFormats count="4">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3" count="1" selected="0">
            <x v="0"/>
          </reference>
        </references>
      </pivotArea>
    </chartFormat>
    <chartFormat chart="8" format="6">
      <pivotArea type="data" outline="0" fieldPosition="0">
        <references count="2">
          <reference field="4294967294" count="1" selected="0">
            <x v="0"/>
          </reference>
          <reference field="3" count="1" selected="0">
            <x v="1"/>
          </reference>
        </references>
      </pivotArea>
    </chartFormat>
    <chartFormat chart="8" format="7">
      <pivotArea type="data" outline="0" fieldPosition="0">
        <references count="2">
          <reference field="4294967294" count="1" selected="0">
            <x v="0"/>
          </reference>
          <reference field="3" count="1" selected="0">
            <x v="2"/>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Sales Dataset].[Year].&amp;[202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A0E7F5-0750-45B3-9AE6-BF8AB3BCBCFE}" name="PivotTable10" cacheId="1410" applyNumberFormats="0" applyBorderFormats="0" applyFontFormats="0" applyPatternFormats="0" applyAlignmentFormats="0" applyWidthHeightFormats="1" dataCaption="Values" tag="d1b45a1d-a2a2-462c-8b1e-5d2249043ee9" updatedVersion="8" minRefreshableVersion="3" subtotalHiddenItems="1" itemPrintTitles="1" createdVersion="5" indent="0" outline="1" outlineData="1" multipleFieldFilters="0" chartFormat="2">
  <location ref="A8" firstHeaderRow="0" firstDataRow="0" firstDataCol="0"/>
  <pivotFields count="4">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s>
  <rowFields count="1">
    <field x="1"/>
  </rowFields>
  <rowItems count="4">
    <i>
      <x/>
    </i>
    <i>
      <x v="1"/>
    </i>
    <i>
      <x v="2"/>
    </i>
    <i t="grand">
      <x/>
    </i>
  </rowItems>
  <colItems count="1">
    <i/>
  </colItems>
  <dataFields count="1">
    <dataField name="Sum of Amount" fld="3" baseField="0" baseItem="0"/>
  </dataField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Sales Dataset].[Year].&amp;[2024]"/>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y dragToData="1"/>
    <pivotHierarchy dragToData="1" caption="Average of Amount2"/>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548C20-871C-4753-A9E6-D799165D3157}" name="PivotTable31" cacheId="1669" applyNumberFormats="0" applyBorderFormats="0" applyFontFormats="0" applyPatternFormats="0" applyAlignmentFormats="0" applyWidthHeightFormats="1" dataCaption="Values" tag="3e14a432-0721-4109-a2e9-fd3a64a64027" updatedVersion="8" minRefreshableVersion="3" useAutoFormatting="1" rowGrandTotals="0" colGrandTotals="0" itemPrintTitles="1" createdVersion="5" indent="0" compact="0" compactData="0" multipleFieldFilters="0">
  <location ref="O27:S32"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measureFilter="1" defaultSubtotal="0" defaultAttributeDrillState="1">
      <items count="5">
        <item x="0"/>
        <item x="1"/>
        <item x="2"/>
        <item x="3"/>
        <item x="4"/>
      </items>
    </pivotField>
    <pivotField dataField="1" compact="0" outline="0" subtotalTop="0" showAll="0" defaultSubtotal="0"/>
  </pivotFields>
  <rowFields count="1">
    <field x="3"/>
  </rowFields>
  <rowItems count="5">
    <i>
      <x/>
    </i>
    <i>
      <x v="1"/>
    </i>
    <i>
      <x v="2"/>
    </i>
    <i>
      <x v="3"/>
    </i>
    <i>
      <x v="4"/>
    </i>
  </rowItems>
  <colFields count="1">
    <field x="-2"/>
  </colFields>
  <colItems count="4">
    <i>
      <x/>
    </i>
    <i i="1">
      <x v="1"/>
    </i>
    <i i="2">
      <x v="2"/>
    </i>
    <i i="3">
      <x v="3"/>
    </i>
  </colItems>
  <dataFields count="4">
    <dataField name="Sales" fld="0" baseField="3" baseItem="0"/>
    <dataField name="Profit" fld="1" baseField="3" baseItem="0"/>
    <dataField name="Orders" fld="2" subtotal="count" baseField="3" baseItem="0"/>
    <dataField name="Quantity" fld="4" baseField="3"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Orders"/>
    <pivotHierarchy dragToData="1"/>
    <pivotHierarchy dragToData="1" caption="Sales"/>
    <pivotHierarchy dragToData="1" caption="Profit"/>
    <pivotHierarchy dragToData="1" caption="Quantity"/>
    <pivotHierarchy dragToData="1"/>
    <pivotHierarchy dragToData="1"/>
  </pivotHierarchies>
  <pivotTableStyleInfo name="PivotStyleDark7" showRowHeaders="1" showColHeaders="1" showRowStripes="1" showColStripes="0" showLastColumn="1"/>
  <filters count="1">
    <filter fld="3" type="count" id="1" iMeasureHier="20">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4</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D5B938B-747E-451D-8DD3-C304942808D9}" sourceName="[Sales Dataset].[Year]">
  <pivotTables>
    <pivotTable tabId="2" name="PivotTable19"/>
    <pivotTable tabId="2" name="PivotTable10"/>
    <pivotTable tabId="2" name="PivotTable11"/>
    <pivotTable tabId="2" name="PivotTable13"/>
    <pivotTable tabId="2" name="PivotTable14"/>
    <pivotTable tabId="2" name="PivotTable17"/>
  </pivotTables>
  <data>
    <olap pivotCacheId="489659667">
      <levels count="2">
        <level uniqueName="[Sales Dataset].[Year].[(All)]" sourceCaption="(All)" count="0"/>
        <level uniqueName="[Sales Dataset].[Year].[Year]" sourceCaption="Year" count="6" crossFilter="showItemsWithNoData">
          <ranges>
            <range startItem="0">
              <i n="[Sales Dataset].[Year].&amp;[2020]" c="2020"/>
              <i n="[Sales Dataset].[Year].&amp;[2021]" c="2021"/>
              <i n="[Sales Dataset].[Year].&amp;[2022]" c="2022"/>
              <i n="[Sales Dataset].[Year].&amp;[2023]" c="2023"/>
              <i n="[Sales Dataset].[Year].&amp;[2024]" c="2024"/>
              <i n="[Sales Dataset].[Year].&amp;[2025]" c="2025"/>
            </range>
          </ranges>
        </level>
      </levels>
      <selections count="1">
        <selection n="[Sales Dataset].[Year].&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A1D9FB-0BF6-46A3-9050-237992E023C8}" sourceName="[Sales Dataset].[Category]">
  <pivotTables>
    <pivotTable tabId="2" name="PivotTable19"/>
    <pivotTable tabId="2" name="PivotTable10"/>
    <pivotTable tabId="2" name="PivotTable11"/>
    <pivotTable tabId="2" name="PivotTable12"/>
    <pivotTable tabId="2" name="PivotTable13"/>
    <pivotTable tabId="2" name="PivotTable14"/>
    <pivotTable tabId="2" name="PivotTable17"/>
  </pivotTables>
  <data>
    <olap pivotCacheId="489659667">
      <levels count="2">
        <level uniqueName="[Sales Dataset].[Category].[(All)]" sourceCaption="(All)" count="0"/>
        <level uniqueName="[Sales Dataset].[Category].[Category]" sourceCaption="Category" count="3">
          <ranges>
            <range startItem="0">
              <i n="[Sales Dataset].[Category].&amp;[Electronics]" c="Electronics"/>
              <i n="[Sales Dataset].[Category].&amp;[Furniture]" c="Furniture"/>
              <i n="[Sales Dataset].[Category].&amp;[Office Supplies]" c="Office Supplies"/>
            </range>
          </ranges>
        </level>
      </levels>
      <selections count="1">
        <selection n="[Sales Datase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86A6E4D5-B003-4951-8701-A12CCA8FAE62}" sourceName="[Sales Dataset].[PaymentMode]">
  <pivotTables>
    <pivotTable tabId="2" name="PivotTable19"/>
    <pivotTable tabId="2" name="PivotTable10"/>
    <pivotTable tabId="2" name="PivotTable11"/>
    <pivotTable tabId="2" name="PivotTable12"/>
    <pivotTable tabId="2" name="PivotTable13"/>
    <pivotTable tabId="2" name="PivotTable14"/>
    <pivotTable tabId="2" name="PivotTable17"/>
    <pivotTable tabId="2" name="PivotTable23"/>
    <pivotTable tabId="2" name="PivotTable25"/>
  </pivotTables>
  <data>
    <olap pivotCacheId="1571517478">
      <levels count="2">
        <level uniqueName="[Sales Dataset].[PaymentMode].[(All)]" sourceCaption="(All)" count="0"/>
        <level uniqueName="[Sales Dataset].[PaymentMode].[PaymentMode]" sourceCaption="PaymentMode" count="5">
          <ranges>
            <range startItem="0">
              <i n="[Sales Dataset].[PaymentMode].&amp;[COD]" c="COD"/>
              <i n="[Sales Dataset].[PaymentMode].&amp;[Credit Card]" c="Credit Card"/>
              <i n="[Sales Dataset].[PaymentMode].&amp;[Debit Card]" c="Debit Card"/>
              <i n="[Sales Dataset].[PaymentMode].&amp;[EMI]" c="EMI"/>
              <i n="[Sales Dataset].[PaymentMode].&amp;[UPI]" c="UPI"/>
            </range>
          </ranges>
        </level>
      </levels>
      <selections count="1">
        <selection n="[Sales Dataset].[Payment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09DD897-C9EE-41CE-A6F4-AA20A5833232}" cache="Slicer_Year" caption="Year" showCaption="0" level="1" style="Slicer Style 6" rowHeight="251883"/>
  <slicer name="Category" xr10:uid="{071C3583-6BD6-42D5-975F-D4ED0DA5A98D}" cache="Slicer_Category" caption="Category" showCaption="0" level="1" style="Slicer Style 6" rowHeight="251883"/>
  <slicer name="PaymentMode" xr10:uid="{8623A013-087B-4203-BD67-57C0DBC80B87}" cache="Slicer_PaymentMode" caption="PaymentMode" showCaption="0" level="1" style="Slicer Style 6"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C5DCB-AEFB-4B36-A574-56009B12FA6F}">
  <dimension ref="A2:I61"/>
  <sheetViews>
    <sheetView topLeftCell="A37" workbookViewId="0">
      <selection activeCell="E55" sqref="E55:I60"/>
    </sheetView>
  </sheetViews>
  <sheetFormatPr defaultRowHeight="14.5" x14ac:dyDescent="0.35"/>
  <cols>
    <col min="1" max="1" width="23.90625" customWidth="1"/>
    <col min="2" max="2" width="13.6328125" bestFit="1" customWidth="1"/>
    <col min="3" max="3" width="11.54296875" bestFit="1" customWidth="1"/>
    <col min="4" max="4" width="12.453125" bestFit="1" customWidth="1"/>
    <col min="5" max="5" width="20.36328125" customWidth="1"/>
    <col min="6" max="6" width="16.54296875" customWidth="1"/>
    <col min="7" max="7" width="15.453125" customWidth="1"/>
    <col min="8" max="8" width="14.08984375" customWidth="1"/>
    <col min="9" max="9" width="16.1796875" customWidth="1"/>
    <col min="10" max="10" width="6.81640625" bestFit="1" customWidth="1"/>
    <col min="11" max="11" width="10.36328125" bestFit="1" customWidth="1"/>
    <col min="12" max="13" width="6.81640625" bestFit="1" customWidth="1"/>
    <col min="14" max="14" width="11.54296875" bestFit="1" customWidth="1"/>
    <col min="15" max="15" width="9.7265625" bestFit="1" customWidth="1"/>
    <col min="16" max="16" width="6.81640625" bestFit="1" customWidth="1"/>
    <col min="17" max="17" width="15.54296875" bestFit="1" customWidth="1"/>
    <col min="18" max="19" width="7.453125" bestFit="1" customWidth="1"/>
    <col min="20" max="21" width="6.81640625" bestFit="1" customWidth="1"/>
    <col min="22" max="22" width="7" bestFit="1" customWidth="1"/>
    <col min="23" max="23" width="7.36328125" bestFit="1" customWidth="1"/>
    <col min="24" max="25" width="6.81640625" bestFit="1" customWidth="1"/>
    <col min="26" max="26" width="18.1796875" bestFit="1" customWidth="1"/>
    <col min="27" max="27" width="16.08984375" bestFit="1" customWidth="1"/>
    <col min="28" max="28" width="5.90625" bestFit="1" customWidth="1"/>
    <col min="29" max="29" width="5.36328125" bestFit="1" customWidth="1"/>
    <col min="30" max="30" width="6.08984375" bestFit="1" customWidth="1"/>
    <col min="31" max="31" width="5.6328125" bestFit="1" customWidth="1"/>
    <col min="32" max="32" width="5.7265625" bestFit="1" customWidth="1"/>
    <col min="33" max="33" width="6.08984375" bestFit="1" customWidth="1"/>
    <col min="34" max="34" width="5.7265625" bestFit="1" customWidth="1"/>
    <col min="35" max="35" width="5.81640625" bestFit="1" customWidth="1"/>
    <col min="36" max="36" width="6.54296875" bestFit="1" customWidth="1"/>
    <col min="37" max="38" width="5.6328125" bestFit="1" customWidth="1"/>
    <col min="39" max="39" width="6.08984375" bestFit="1" customWidth="1"/>
    <col min="40" max="40" width="5.90625" bestFit="1" customWidth="1"/>
    <col min="41" max="41" width="5.36328125" bestFit="1" customWidth="1"/>
    <col min="42" max="42" width="6.08984375" bestFit="1" customWidth="1"/>
    <col min="43" max="43" width="5.6328125" bestFit="1" customWidth="1"/>
    <col min="44" max="44" width="5.7265625" bestFit="1" customWidth="1"/>
    <col min="45" max="45" width="6.08984375" bestFit="1" customWidth="1"/>
    <col min="46" max="46" width="5.7265625" bestFit="1" customWidth="1"/>
    <col min="47" max="47" width="5.81640625" bestFit="1" customWidth="1"/>
    <col min="48" max="48" width="6.54296875" bestFit="1" customWidth="1"/>
    <col min="49" max="50" width="5.6328125" bestFit="1" customWidth="1"/>
    <col min="51" max="51" width="6.08984375" bestFit="1" customWidth="1"/>
    <col min="52" max="52" width="5.90625" bestFit="1" customWidth="1"/>
    <col min="53" max="53" width="5.36328125" bestFit="1" customWidth="1"/>
    <col min="54" max="54" width="6.08984375" bestFit="1" customWidth="1"/>
    <col min="55" max="55" width="5.6328125" bestFit="1" customWidth="1"/>
    <col min="56" max="56" width="5.7265625" bestFit="1" customWidth="1"/>
    <col min="57" max="57" width="6.08984375" bestFit="1" customWidth="1"/>
    <col min="58" max="58" width="5.7265625" bestFit="1" customWidth="1"/>
    <col min="59" max="59" width="5.81640625" bestFit="1" customWidth="1"/>
    <col min="60" max="60" width="6.54296875" bestFit="1" customWidth="1"/>
    <col min="61" max="62" width="5.6328125" bestFit="1" customWidth="1"/>
    <col min="63" max="63" width="10.36328125" bestFit="1" customWidth="1"/>
    <col min="64" max="649" width="10.08984375" bestFit="1" customWidth="1"/>
    <col min="650" max="650" width="10.36328125" bestFit="1" customWidth="1"/>
  </cols>
  <sheetData>
    <row r="2" spans="1:8" x14ac:dyDescent="0.35">
      <c r="A2" t="s">
        <v>4</v>
      </c>
    </row>
    <row r="3" spans="1:8" x14ac:dyDescent="0.35">
      <c r="A3" s="1" t="s">
        <v>0</v>
      </c>
      <c r="B3" t="s">
        <v>5</v>
      </c>
    </row>
    <row r="4" spans="1:8" x14ac:dyDescent="0.35">
      <c r="A4" s="2" t="s">
        <v>7</v>
      </c>
      <c r="B4" s="3">
        <v>82112</v>
      </c>
    </row>
    <row r="5" spans="1:8" x14ac:dyDescent="0.35">
      <c r="A5" s="2" t="s">
        <v>8</v>
      </c>
      <c r="B5" s="3">
        <v>114013</v>
      </c>
    </row>
    <row r="6" spans="1:8" x14ac:dyDescent="0.35">
      <c r="A6" s="2" t="s">
        <v>9</v>
      </c>
      <c r="B6" s="3">
        <v>112211</v>
      </c>
    </row>
    <row r="7" spans="1:8" x14ac:dyDescent="0.35">
      <c r="A7" s="2" t="s">
        <v>1</v>
      </c>
      <c r="B7" s="3">
        <v>308336</v>
      </c>
    </row>
    <row r="8" spans="1:8" x14ac:dyDescent="0.35">
      <c r="A8" s="3" t="e" vm="1">
        <v>#VALUE!</v>
      </c>
    </row>
    <row r="12" spans="1:8" x14ac:dyDescent="0.35">
      <c r="A12" s="1" t="s">
        <v>0</v>
      </c>
      <c r="B12" t="s">
        <v>3</v>
      </c>
      <c r="D12" s="1" t="s">
        <v>0</v>
      </c>
      <c r="E12" t="s">
        <v>3</v>
      </c>
      <c r="G12" s="1" t="s">
        <v>0</v>
      </c>
      <c r="H12" t="s">
        <v>3</v>
      </c>
    </row>
    <row r="13" spans="1:8" x14ac:dyDescent="0.35">
      <c r="A13" s="2" t="s">
        <v>7</v>
      </c>
      <c r="B13" s="3">
        <v>2054456</v>
      </c>
      <c r="D13" s="2" t="s">
        <v>10</v>
      </c>
      <c r="E13" s="3">
        <v>277803</v>
      </c>
      <c r="G13" s="2" t="s">
        <v>21</v>
      </c>
      <c r="H13" s="3">
        <v>170286</v>
      </c>
    </row>
    <row r="14" spans="1:8" x14ac:dyDescent="0.35">
      <c r="A14" s="2" t="s">
        <v>8</v>
      </c>
      <c r="B14" s="3">
        <v>2038673</v>
      </c>
      <c r="D14" s="2" t="s">
        <v>11</v>
      </c>
      <c r="E14" s="3">
        <v>214663</v>
      </c>
      <c r="G14" s="2" t="s">
        <v>22</v>
      </c>
      <c r="H14" s="3">
        <v>295743</v>
      </c>
    </row>
    <row r="15" spans="1:8" x14ac:dyDescent="0.35">
      <c r="A15" s="2" t="s">
        <v>9</v>
      </c>
      <c r="B15" s="3">
        <v>2089510</v>
      </c>
      <c r="D15" s="2" t="s">
        <v>12</v>
      </c>
      <c r="E15" s="3">
        <v>184200</v>
      </c>
      <c r="G15" s="2" t="s">
        <v>23</v>
      </c>
      <c r="H15" s="3">
        <v>224002</v>
      </c>
    </row>
    <row r="16" spans="1:8" x14ac:dyDescent="0.35">
      <c r="A16" s="2" t="s">
        <v>1</v>
      </c>
      <c r="B16" s="3">
        <v>6182639</v>
      </c>
      <c r="D16" s="2" t="s">
        <v>13</v>
      </c>
      <c r="E16" s="3">
        <v>193665</v>
      </c>
      <c r="G16" s="2" t="s">
        <v>24</v>
      </c>
      <c r="H16" s="3">
        <v>258644</v>
      </c>
    </row>
    <row r="17" spans="1:8" x14ac:dyDescent="0.35">
      <c r="D17" s="2" t="s">
        <v>14</v>
      </c>
      <c r="E17" s="3">
        <v>141979</v>
      </c>
      <c r="G17" s="2" t="s">
        <v>25</v>
      </c>
      <c r="H17" s="3">
        <v>253803</v>
      </c>
    </row>
    <row r="18" spans="1:8" x14ac:dyDescent="0.35">
      <c r="D18" s="2" t="s">
        <v>15</v>
      </c>
      <c r="E18" s="3">
        <v>190168</v>
      </c>
      <c r="G18" s="2" t="s">
        <v>1</v>
      </c>
      <c r="H18" s="3">
        <v>1202478</v>
      </c>
    </row>
    <row r="19" spans="1:8" x14ac:dyDescent="0.35">
      <c r="A19" s="1" t="s">
        <v>0</v>
      </c>
      <c r="B19" t="s">
        <v>5</v>
      </c>
      <c r="D19" s="2" t="s">
        <v>1</v>
      </c>
      <c r="E19" s="3">
        <v>1202478</v>
      </c>
    </row>
    <row r="20" spans="1:8" x14ac:dyDescent="0.35">
      <c r="A20" s="2" t="s">
        <v>7</v>
      </c>
      <c r="B20" s="3">
        <v>82112</v>
      </c>
    </row>
    <row r="21" spans="1:8" x14ac:dyDescent="0.35">
      <c r="A21" s="2" t="s">
        <v>8</v>
      </c>
      <c r="B21" s="3">
        <v>114013</v>
      </c>
    </row>
    <row r="22" spans="1:8" x14ac:dyDescent="0.35">
      <c r="A22" s="2" t="s">
        <v>9</v>
      </c>
      <c r="B22" s="3">
        <v>112211</v>
      </c>
    </row>
    <row r="23" spans="1:8" x14ac:dyDescent="0.35">
      <c r="A23" s="2" t="s">
        <v>1</v>
      </c>
      <c r="B23" s="3">
        <v>308336</v>
      </c>
    </row>
    <row r="27" spans="1:8" x14ac:dyDescent="0.35">
      <c r="A27" s="1" t="s">
        <v>0</v>
      </c>
      <c r="B27" t="s">
        <v>6</v>
      </c>
      <c r="D27" s="1" t="s">
        <v>0</v>
      </c>
      <c r="E27" t="s">
        <v>43</v>
      </c>
      <c r="G27" s="1" t="s">
        <v>0</v>
      </c>
      <c r="H27" t="s">
        <v>3</v>
      </c>
    </row>
    <row r="28" spans="1:8" x14ac:dyDescent="0.35">
      <c r="A28" s="2" t="s">
        <v>21</v>
      </c>
      <c r="B28" s="3">
        <v>2191</v>
      </c>
      <c r="D28" s="2" t="s">
        <v>49</v>
      </c>
      <c r="E28" s="3">
        <v>47645</v>
      </c>
      <c r="G28" s="2" t="s">
        <v>16</v>
      </c>
      <c r="H28" s="3">
        <v>565092</v>
      </c>
    </row>
    <row r="29" spans="1:8" x14ac:dyDescent="0.35">
      <c r="A29" s="2" t="s">
        <v>22</v>
      </c>
      <c r="B29" s="3">
        <v>2685</v>
      </c>
      <c r="D29" s="2" t="s">
        <v>40</v>
      </c>
      <c r="E29" s="3">
        <v>108414</v>
      </c>
      <c r="G29" s="2" t="s">
        <v>17</v>
      </c>
      <c r="H29" s="3">
        <v>627875</v>
      </c>
    </row>
    <row r="30" spans="1:8" x14ac:dyDescent="0.35">
      <c r="A30" s="2" t="s">
        <v>23</v>
      </c>
      <c r="B30" s="3">
        <v>2773</v>
      </c>
      <c r="D30" s="2" t="s">
        <v>44</v>
      </c>
      <c r="E30" s="3">
        <v>119216</v>
      </c>
      <c r="G30" s="2" t="s">
        <v>18</v>
      </c>
      <c r="H30" s="3">
        <v>566359</v>
      </c>
    </row>
    <row r="31" spans="1:8" x14ac:dyDescent="0.35">
      <c r="A31" s="2" t="s">
        <v>24</v>
      </c>
      <c r="B31" s="3">
        <v>2371</v>
      </c>
      <c r="D31" s="2" t="s">
        <v>45</v>
      </c>
      <c r="E31" s="3">
        <v>138052</v>
      </c>
      <c r="G31" s="2" t="s">
        <v>19</v>
      </c>
      <c r="H31" s="3">
        <v>568367</v>
      </c>
    </row>
    <row r="32" spans="1:8" x14ac:dyDescent="0.35">
      <c r="A32" s="2" t="s">
        <v>25</v>
      </c>
      <c r="B32" s="3">
        <v>2725</v>
      </c>
      <c r="D32" s="2" t="s">
        <v>28</v>
      </c>
      <c r="E32" s="3">
        <v>117494</v>
      </c>
      <c r="G32" s="2" t="s">
        <v>20</v>
      </c>
      <c r="H32" s="3">
        <v>625177</v>
      </c>
    </row>
    <row r="33" spans="1:9" x14ac:dyDescent="0.35">
      <c r="A33" s="2" t="s">
        <v>1</v>
      </c>
      <c r="B33" s="3">
        <v>12745</v>
      </c>
      <c r="D33" s="2" t="s">
        <v>46</v>
      </c>
      <c r="E33" s="3">
        <v>140745</v>
      </c>
      <c r="G33" s="2" t="s">
        <v>1</v>
      </c>
      <c r="H33" s="3">
        <v>2952870</v>
      </c>
    </row>
    <row r="34" spans="1:9" x14ac:dyDescent="0.35">
      <c r="D34" s="2" t="s">
        <v>41</v>
      </c>
      <c r="E34" s="3">
        <v>129944</v>
      </c>
    </row>
    <row r="35" spans="1:9" x14ac:dyDescent="0.35">
      <c r="D35" s="2" t="s">
        <v>39</v>
      </c>
      <c r="E35" s="3">
        <v>73384</v>
      </c>
    </row>
    <row r="36" spans="1:9" x14ac:dyDescent="0.35">
      <c r="D36" s="2" t="s">
        <v>50</v>
      </c>
      <c r="E36" s="3">
        <v>84624</v>
      </c>
    </row>
    <row r="37" spans="1:9" x14ac:dyDescent="0.35">
      <c r="D37" s="2" t="s">
        <v>47</v>
      </c>
      <c r="E37" s="3">
        <v>83105</v>
      </c>
    </row>
    <row r="38" spans="1:9" x14ac:dyDescent="0.35">
      <c r="D38" s="2" t="s">
        <v>42</v>
      </c>
      <c r="E38" s="3">
        <v>60976</v>
      </c>
    </row>
    <row r="39" spans="1:9" x14ac:dyDescent="0.35">
      <c r="D39" s="2" t="s">
        <v>48</v>
      </c>
      <c r="E39" s="3">
        <v>98879</v>
      </c>
    </row>
    <row r="40" spans="1:9" x14ac:dyDescent="0.35">
      <c r="D40" s="2" t="s">
        <v>1</v>
      </c>
      <c r="E40" s="3">
        <v>1202478</v>
      </c>
    </row>
    <row r="47" spans="1:9" x14ac:dyDescent="0.35">
      <c r="A47" s="1" t="s">
        <v>0</v>
      </c>
      <c r="B47" t="s">
        <v>3</v>
      </c>
      <c r="C47" t="s">
        <v>5</v>
      </c>
      <c r="E47" t="s">
        <v>2</v>
      </c>
      <c r="F47" t="s">
        <v>3</v>
      </c>
      <c r="G47" t="s">
        <v>5</v>
      </c>
      <c r="H47" t="s">
        <v>6</v>
      </c>
      <c r="I47" t="s">
        <v>38</v>
      </c>
    </row>
    <row r="48" spans="1:9" x14ac:dyDescent="0.35">
      <c r="A48" s="2" t="s">
        <v>36</v>
      </c>
      <c r="B48" s="3">
        <v>392678</v>
      </c>
      <c r="C48" s="3">
        <v>110381</v>
      </c>
      <c r="E48" s="3">
        <v>1194</v>
      </c>
      <c r="F48" s="6">
        <v>6182639</v>
      </c>
      <c r="G48" s="6">
        <v>1610697</v>
      </c>
      <c r="H48" s="3">
        <v>12745</v>
      </c>
      <c r="I48" s="4">
        <v>5178.0896147403682</v>
      </c>
    </row>
    <row r="49" spans="1:9" x14ac:dyDescent="0.35">
      <c r="A49" s="2" t="s">
        <v>37</v>
      </c>
      <c r="B49" s="3">
        <v>450672</v>
      </c>
      <c r="C49" s="3">
        <v>118941</v>
      </c>
    </row>
    <row r="50" spans="1:9" x14ac:dyDescent="0.35">
      <c r="A50" s="2" t="s">
        <v>26</v>
      </c>
      <c r="B50" s="3">
        <v>497247</v>
      </c>
      <c r="C50" s="3">
        <v>152739</v>
      </c>
    </row>
    <row r="51" spans="1:9" x14ac:dyDescent="0.35">
      <c r="A51" s="2" t="s">
        <v>27</v>
      </c>
      <c r="B51" s="3">
        <v>567882</v>
      </c>
      <c r="C51" s="3">
        <v>139373</v>
      </c>
    </row>
    <row r="52" spans="1:9" x14ac:dyDescent="0.35">
      <c r="A52" s="2" t="s">
        <v>28</v>
      </c>
      <c r="B52" s="3">
        <v>581943</v>
      </c>
      <c r="C52" s="3">
        <v>129629</v>
      </c>
    </row>
    <row r="53" spans="1:9" x14ac:dyDescent="0.35">
      <c r="A53" s="2" t="s">
        <v>29</v>
      </c>
      <c r="B53" s="3">
        <v>529028</v>
      </c>
      <c r="C53" s="3">
        <v>141845</v>
      </c>
    </row>
    <row r="54" spans="1:9" x14ac:dyDescent="0.35">
      <c r="A54" s="2" t="s">
        <v>30</v>
      </c>
      <c r="B54" s="3">
        <v>497410</v>
      </c>
      <c r="C54" s="3">
        <v>132117</v>
      </c>
    </row>
    <row r="55" spans="1:9" ht="21.5" customHeight="1" x14ac:dyDescent="0.35">
      <c r="A55" s="2" t="s">
        <v>31</v>
      </c>
      <c r="B55" s="3">
        <v>517830</v>
      </c>
      <c r="C55" s="3">
        <v>143289</v>
      </c>
      <c r="E55" s="1" t="s">
        <v>51</v>
      </c>
      <c r="F55" t="s">
        <v>52</v>
      </c>
      <c r="G55" t="s">
        <v>53</v>
      </c>
      <c r="H55" t="s">
        <v>54</v>
      </c>
      <c r="I55" t="s">
        <v>55</v>
      </c>
    </row>
    <row r="56" spans="1:9" x14ac:dyDescent="0.35">
      <c r="A56" s="2" t="s">
        <v>32</v>
      </c>
      <c r="B56" s="3">
        <v>408236</v>
      </c>
      <c r="C56" s="3">
        <v>111244</v>
      </c>
      <c r="E56" t="s">
        <v>10</v>
      </c>
      <c r="F56" s="3">
        <v>1086436</v>
      </c>
      <c r="G56" s="3">
        <v>278814</v>
      </c>
      <c r="H56" s="3">
        <v>218</v>
      </c>
      <c r="I56" s="3">
        <v>2319</v>
      </c>
    </row>
    <row r="57" spans="1:9" x14ac:dyDescent="0.35">
      <c r="A57" s="2" t="s">
        <v>33</v>
      </c>
      <c r="B57" s="3">
        <v>632521</v>
      </c>
      <c r="C57" s="3">
        <v>155154</v>
      </c>
      <c r="E57" t="s">
        <v>11</v>
      </c>
      <c r="F57" s="3">
        <v>1091174</v>
      </c>
      <c r="G57" s="3">
        <v>308706</v>
      </c>
      <c r="H57" s="3">
        <v>200</v>
      </c>
      <c r="I57" s="3">
        <v>2145</v>
      </c>
    </row>
    <row r="58" spans="1:9" x14ac:dyDescent="0.35">
      <c r="A58" s="2" t="s">
        <v>34</v>
      </c>
      <c r="B58" s="3">
        <v>451814</v>
      </c>
      <c r="C58" s="3">
        <v>116169</v>
      </c>
      <c r="E58" t="s">
        <v>12</v>
      </c>
      <c r="F58" s="3">
        <v>978738</v>
      </c>
      <c r="G58" s="3">
        <v>240372</v>
      </c>
      <c r="H58" s="3">
        <v>181</v>
      </c>
      <c r="I58" s="3">
        <v>1820</v>
      </c>
    </row>
    <row r="59" spans="1:9" x14ac:dyDescent="0.35">
      <c r="A59" s="2" t="s">
        <v>35</v>
      </c>
      <c r="B59" s="3">
        <v>655378</v>
      </c>
      <c r="C59" s="3">
        <v>159816</v>
      </c>
      <c r="E59" t="s">
        <v>13</v>
      </c>
      <c r="F59" s="3">
        <v>1130048</v>
      </c>
      <c r="G59" s="3">
        <v>308506</v>
      </c>
      <c r="H59" s="3">
        <v>226</v>
      </c>
      <c r="I59" s="3">
        <v>2479</v>
      </c>
    </row>
    <row r="60" spans="1:9" x14ac:dyDescent="0.35">
      <c r="A60" s="2" t="s">
        <v>1</v>
      </c>
      <c r="B60" s="3">
        <v>6182639</v>
      </c>
      <c r="C60" s="3">
        <v>1610697</v>
      </c>
      <c r="E60" t="s">
        <v>15</v>
      </c>
      <c r="F60" s="3">
        <v>1011475</v>
      </c>
      <c r="G60" s="3">
        <v>257780</v>
      </c>
      <c r="H60" s="3">
        <v>189</v>
      </c>
      <c r="I60" s="3">
        <v>1941</v>
      </c>
    </row>
    <row r="61" spans="1:9" x14ac:dyDescent="0.35">
      <c r="F61" s="3"/>
      <c r="G61" s="3"/>
      <c r="H6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48E7-90B8-4E93-A8A1-A6E60427597C}">
  <dimension ref="A1:X41"/>
  <sheetViews>
    <sheetView tabSelected="1" zoomScale="69" zoomScaleNormal="69" workbookViewId="0">
      <selection activeCell="W12" sqref="W12"/>
    </sheetView>
  </sheetViews>
  <sheetFormatPr defaultRowHeight="14.5" x14ac:dyDescent="0.35"/>
  <cols>
    <col min="15" max="15" width="9.08984375" bestFit="1" customWidth="1"/>
    <col min="16" max="16" width="11.36328125" bestFit="1" customWidth="1"/>
    <col min="17" max="17" width="9.90625" bestFit="1" customWidth="1"/>
    <col min="18" max="18" width="6.81640625" bestFit="1" customWidth="1"/>
  </cols>
  <sheetData>
    <row r="1" spans="1:20" x14ac:dyDescent="0.35">
      <c r="A1" s="5"/>
      <c r="B1" s="5"/>
      <c r="C1" s="5"/>
      <c r="D1" s="5"/>
      <c r="E1" s="5"/>
      <c r="F1" s="5"/>
      <c r="G1" s="5"/>
      <c r="H1" s="5"/>
      <c r="I1" s="5"/>
      <c r="J1" s="5"/>
      <c r="K1" s="5"/>
      <c r="L1" s="5"/>
      <c r="M1" s="5"/>
      <c r="N1" s="5"/>
      <c r="O1" s="5"/>
      <c r="P1" s="5"/>
      <c r="Q1" s="5"/>
      <c r="R1" s="5"/>
      <c r="S1" s="5"/>
      <c r="T1" s="5"/>
    </row>
    <row r="2" spans="1:20" x14ac:dyDescent="0.35">
      <c r="A2" s="5"/>
      <c r="B2" s="5"/>
      <c r="C2" s="5"/>
      <c r="D2" s="5"/>
      <c r="E2" s="5"/>
      <c r="F2" s="5"/>
      <c r="G2" s="5"/>
      <c r="H2" s="5"/>
      <c r="I2" s="5"/>
      <c r="J2" s="5"/>
      <c r="K2" s="5"/>
      <c r="L2" s="5"/>
      <c r="M2" s="5"/>
      <c r="N2" s="5"/>
      <c r="O2" s="5"/>
      <c r="P2" s="5"/>
      <c r="Q2" s="5"/>
      <c r="R2" s="5"/>
      <c r="S2" s="5"/>
      <c r="T2" s="5"/>
    </row>
    <row r="3" spans="1:20" x14ac:dyDescent="0.35">
      <c r="A3" s="5"/>
      <c r="B3" s="5"/>
      <c r="C3" s="5"/>
      <c r="D3" s="5"/>
      <c r="E3" s="5"/>
      <c r="F3" s="5"/>
      <c r="G3" s="5"/>
      <c r="H3" s="5"/>
      <c r="I3" s="5"/>
      <c r="J3" s="5"/>
      <c r="K3" s="5"/>
      <c r="L3" s="5"/>
      <c r="M3" s="5"/>
      <c r="N3" s="5"/>
      <c r="O3" s="5"/>
      <c r="P3" s="5"/>
      <c r="Q3" s="5"/>
      <c r="R3" s="5"/>
      <c r="S3" s="5"/>
      <c r="T3" s="5"/>
    </row>
    <row r="4" spans="1:20" x14ac:dyDescent="0.35">
      <c r="A4" s="5"/>
      <c r="B4" s="5"/>
      <c r="C4" s="5"/>
      <c r="D4" s="5"/>
      <c r="E4" s="5"/>
      <c r="F4" s="5"/>
      <c r="G4" s="5"/>
      <c r="H4" s="5"/>
      <c r="I4" s="5"/>
      <c r="J4" s="5"/>
      <c r="K4" s="5"/>
      <c r="L4" s="5"/>
      <c r="M4" s="5"/>
      <c r="N4" s="5"/>
      <c r="O4" s="5"/>
      <c r="P4" s="5"/>
      <c r="Q4" s="5"/>
      <c r="R4" s="5"/>
      <c r="S4" s="5"/>
      <c r="T4" s="5"/>
    </row>
    <row r="5" spans="1:20" x14ac:dyDescent="0.35">
      <c r="A5" s="5"/>
      <c r="B5" s="5"/>
      <c r="C5" s="5"/>
      <c r="D5" s="5"/>
      <c r="E5" s="5"/>
      <c r="F5" s="5"/>
      <c r="G5" s="5"/>
      <c r="H5" s="5"/>
      <c r="I5" s="5"/>
      <c r="J5" s="5"/>
      <c r="K5" s="5"/>
      <c r="L5" s="5"/>
      <c r="M5" s="5"/>
      <c r="N5" s="5"/>
      <c r="O5" s="5"/>
      <c r="P5" s="5"/>
      <c r="Q5" s="5"/>
      <c r="R5" s="5"/>
      <c r="S5" s="5"/>
      <c r="T5" s="5"/>
    </row>
    <row r="6" spans="1:20" x14ac:dyDescent="0.35">
      <c r="A6" s="5"/>
      <c r="B6" s="5"/>
      <c r="C6" s="5"/>
      <c r="D6" s="5"/>
      <c r="E6" s="5"/>
      <c r="F6" s="5"/>
      <c r="G6" s="5"/>
      <c r="H6" s="5"/>
      <c r="I6" s="5"/>
      <c r="J6" s="5"/>
      <c r="K6" s="5"/>
      <c r="L6" s="5"/>
      <c r="M6" s="5"/>
      <c r="N6" s="5"/>
      <c r="O6" s="5"/>
      <c r="P6" s="5"/>
      <c r="Q6" s="5"/>
      <c r="R6" s="5"/>
      <c r="S6" s="5"/>
      <c r="T6" s="5"/>
    </row>
    <row r="7" spans="1:20" x14ac:dyDescent="0.35">
      <c r="A7" s="5"/>
      <c r="B7" s="5"/>
      <c r="C7" s="5"/>
      <c r="D7" s="5"/>
      <c r="E7" s="5"/>
      <c r="F7" s="5"/>
      <c r="G7" s="5"/>
      <c r="H7" s="5"/>
      <c r="I7" s="5"/>
      <c r="J7" s="5"/>
      <c r="K7" s="5"/>
      <c r="L7" s="5"/>
      <c r="M7" s="5"/>
      <c r="N7" s="5"/>
      <c r="O7" s="5"/>
      <c r="P7" s="5"/>
      <c r="Q7" s="5"/>
      <c r="R7" s="5"/>
      <c r="S7" s="5"/>
      <c r="T7" s="5"/>
    </row>
    <row r="8" spans="1:20" x14ac:dyDescent="0.35">
      <c r="A8" s="5"/>
      <c r="B8" s="5"/>
      <c r="C8" s="5"/>
      <c r="D8" s="5"/>
      <c r="E8" s="5"/>
      <c r="F8" s="5"/>
      <c r="G8" s="5"/>
      <c r="H8" s="5"/>
      <c r="I8" s="5"/>
      <c r="J8" s="5"/>
      <c r="K8" s="5"/>
      <c r="L8" s="5"/>
      <c r="M8" s="5"/>
      <c r="N8" s="5"/>
      <c r="O8" s="5"/>
      <c r="P8" s="5"/>
      <c r="Q8" s="5"/>
      <c r="R8" s="5"/>
      <c r="S8" s="5"/>
      <c r="T8" s="5"/>
    </row>
    <row r="9" spans="1:20" x14ac:dyDescent="0.35">
      <c r="A9" s="5"/>
      <c r="B9" s="5"/>
      <c r="C9" s="5"/>
      <c r="D9" s="5"/>
      <c r="E9" s="5"/>
      <c r="F9" s="5"/>
      <c r="G9" s="5"/>
      <c r="H9" s="5"/>
      <c r="I9" s="5"/>
      <c r="J9" s="5"/>
      <c r="K9" s="5"/>
      <c r="L9" s="5"/>
      <c r="M9" s="5"/>
      <c r="N9" s="5"/>
      <c r="O9" s="5"/>
      <c r="P9" s="5"/>
      <c r="Q9" s="5"/>
      <c r="R9" s="5"/>
      <c r="S9" s="5"/>
      <c r="T9" s="5"/>
    </row>
    <row r="10" spans="1:20" x14ac:dyDescent="0.35">
      <c r="A10" s="5"/>
      <c r="B10" s="5"/>
      <c r="C10" s="5"/>
      <c r="D10" s="5"/>
      <c r="E10" s="5"/>
      <c r="F10" s="5"/>
      <c r="G10" s="5"/>
      <c r="H10" s="5"/>
      <c r="I10" s="5"/>
      <c r="J10" s="5"/>
      <c r="K10" s="5"/>
      <c r="L10" s="5"/>
      <c r="M10" s="5"/>
      <c r="N10" s="5"/>
      <c r="O10" s="5"/>
      <c r="P10" s="5"/>
      <c r="Q10" s="5"/>
      <c r="R10" s="5"/>
      <c r="S10" s="5"/>
      <c r="T10" s="5"/>
    </row>
    <row r="11" spans="1:20" x14ac:dyDescent="0.35">
      <c r="A11" s="5"/>
      <c r="B11" s="5"/>
      <c r="C11" s="5"/>
      <c r="D11" s="5"/>
      <c r="E11" s="5"/>
      <c r="F11" s="5"/>
      <c r="G11" s="5"/>
      <c r="H11" s="5"/>
      <c r="I11" s="5"/>
      <c r="J11" s="5"/>
      <c r="K11" s="5"/>
      <c r="L11" s="5"/>
      <c r="M11" s="5"/>
      <c r="N11" s="5"/>
      <c r="O11" s="5"/>
      <c r="P11" s="5"/>
      <c r="Q11" s="5"/>
      <c r="R11" s="5"/>
      <c r="S11" s="5"/>
      <c r="T11" s="5"/>
    </row>
    <row r="12" spans="1:20" x14ac:dyDescent="0.35">
      <c r="A12" s="5"/>
      <c r="B12" s="5"/>
      <c r="C12" s="5"/>
      <c r="D12" s="5"/>
      <c r="E12" s="5"/>
      <c r="F12" s="5"/>
      <c r="G12" s="5"/>
      <c r="H12" s="5"/>
      <c r="I12" s="5"/>
      <c r="J12" s="5"/>
      <c r="K12" s="5"/>
      <c r="L12" s="5"/>
      <c r="M12" s="5"/>
      <c r="N12" s="5"/>
      <c r="O12" s="5"/>
      <c r="P12" s="5"/>
      <c r="Q12" s="5"/>
      <c r="R12" s="5"/>
      <c r="S12" s="5"/>
      <c r="T12" s="5"/>
    </row>
    <row r="13" spans="1:20" x14ac:dyDescent="0.35">
      <c r="A13" s="5"/>
      <c r="B13" s="5"/>
      <c r="C13" s="5"/>
      <c r="D13" s="5"/>
      <c r="E13" s="5"/>
      <c r="F13" s="5"/>
      <c r="G13" s="5"/>
      <c r="H13" s="5"/>
      <c r="I13" s="5"/>
      <c r="J13" s="5"/>
      <c r="K13" s="5"/>
      <c r="L13" s="5"/>
      <c r="M13" s="5"/>
      <c r="N13" s="5"/>
      <c r="O13" s="5"/>
      <c r="P13" s="5"/>
      <c r="Q13" s="5"/>
      <c r="R13" s="5"/>
      <c r="S13" s="5"/>
      <c r="T13" s="5"/>
    </row>
    <row r="14" spans="1:20" x14ac:dyDescent="0.35">
      <c r="A14" s="5"/>
      <c r="B14" s="5"/>
      <c r="C14" s="5"/>
      <c r="D14" s="5"/>
      <c r="E14" s="5"/>
      <c r="F14" s="5"/>
      <c r="G14" s="5"/>
      <c r="H14" s="5"/>
      <c r="I14" s="5"/>
      <c r="J14" s="5"/>
      <c r="K14" s="5"/>
      <c r="L14" s="5"/>
      <c r="M14" s="5"/>
      <c r="N14" s="5"/>
      <c r="O14" s="5"/>
      <c r="P14" s="5"/>
      <c r="Q14" s="5"/>
      <c r="R14" s="5"/>
      <c r="S14" s="5"/>
      <c r="T14" s="5"/>
    </row>
    <row r="15" spans="1:20" x14ac:dyDescent="0.35">
      <c r="A15" s="5"/>
      <c r="B15" s="5"/>
      <c r="C15" s="5"/>
      <c r="D15" s="5"/>
      <c r="E15" s="5"/>
      <c r="F15" s="5"/>
      <c r="G15" s="5"/>
      <c r="H15" s="5"/>
      <c r="I15" s="5"/>
      <c r="J15" s="5"/>
      <c r="K15" s="5"/>
      <c r="L15" s="5"/>
      <c r="M15" s="5"/>
      <c r="N15" s="5"/>
      <c r="O15" s="5"/>
      <c r="P15" s="5"/>
      <c r="Q15" s="5"/>
      <c r="R15" s="5"/>
      <c r="S15" s="5"/>
      <c r="T15" s="5"/>
    </row>
    <row r="16" spans="1:20" x14ac:dyDescent="0.35">
      <c r="A16" s="5"/>
      <c r="B16" s="5"/>
      <c r="C16" s="5"/>
      <c r="D16" s="5"/>
      <c r="E16" s="5"/>
      <c r="F16" s="5"/>
      <c r="G16" s="5"/>
      <c r="H16" s="5"/>
      <c r="I16" s="5"/>
      <c r="J16" s="5"/>
      <c r="K16" s="5"/>
      <c r="L16" s="5"/>
      <c r="M16" s="5"/>
      <c r="N16" s="5"/>
      <c r="O16" s="5"/>
      <c r="P16" s="5"/>
      <c r="Q16" s="5"/>
      <c r="R16" s="5"/>
      <c r="S16" s="5"/>
      <c r="T16" s="5"/>
    </row>
    <row r="17" spans="1:20" x14ac:dyDescent="0.35">
      <c r="A17" s="5"/>
      <c r="B17" s="5"/>
      <c r="C17" s="5"/>
      <c r="D17" s="5"/>
      <c r="E17" s="5"/>
      <c r="F17" s="5"/>
      <c r="G17" s="5"/>
      <c r="H17" s="5"/>
      <c r="I17" s="5"/>
      <c r="J17" s="5"/>
      <c r="K17" s="5"/>
      <c r="L17" s="5"/>
      <c r="M17" s="5"/>
      <c r="N17" s="5"/>
      <c r="O17" s="5"/>
      <c r="P17" s="5"/>
      <c r="Q17" s="5"/>
      <c r="R17" s="5"/>
      <c r="S17" s="5"/>
      <c r="T17" s="5"/>
    </row>
    <row r="18" spans="1:20" x14ac:dyDescent="0.35">
      <c r="A18" s="5"/>
      <c r="B18" s="5"/>
      <c r="C18" s="5"/>
      <c r="D18" s="5"/>
      <c r="E18" s="5"/>
      <c r="F18" s="5"/>
      <c r="G18" s="5"/>
      <c r="H18" s="5"/>
      <c r="I18" s="5"/>
      <c r="J18" s="5"/>
      <c r="K18" s="5"/>
      <c r="L18" s="5"/>
      <c r="M18" s="5"/>
      <c r="N18" s="5"/>
      <c r="O18" s="5"/>
      <c r="P18" s="5"/>
      <c r="Q18" s="5"/>
      <c r="R18" s="5"/>
      <c r="S18" s="5"/>
      <c r="T18" s="5"/>
    </row>
    <row r="19" spans="1:20" x14ac:dyDescent="0.35">
      <c r="A19" s="5"/>
      <c r="B19" s="5"/>
      <c r="C19" s="5"/>
      <c r="D19" s="5"/>
      <c r="E19" s="5"/>
      <c r="F19" s="5"/>
      <c r="G19" s="5"/>
      <c r="H19" s="5"/>
      <c r="I19" s="5"/>
      <c r="J19" s="5"/>
      <c r="K19" s="5"/>
      <c r="L19" s="5"/>
      <c r="M19" s="5"/>
      <c r="N19" s="5"/>
      <c r="O19" s="5"/>
      <c r="P19" s="5"/>
      <c r="Q19" s="5"/>
      <c r="R19" s="5"/>
      <c r="S19" s="5"/>
      <c r="T19" s="5"/>
    </row>
    <row r="20" spans="1:20" x14ac:dyDescent="0.35">
      <c r="A20" s="5"/>
      <c r="B20" s="5"/>
      <c r="C20" s="5"/>
      <c r="D20" s="5"/>
      <c r="E20" s="5"/>
      <c r="F20" s="5"/>
      <c r="G20" s="5"/>
      <c r="H20" s="5"/>
      <c r="I20" s="5"/>
      <c r="J20" s="5"/>
      <c r="K20" s="5"/>
      <c r="L20" s="5"/>
      <c r="M20" s="5"/>
      <c r="N20" s="5"/>
      <c r="O20" s="5"/>
      <c r="P20" s="5"/>
      <c r="Q20" s="5"/>
      <c r="R20" s="5"/>
      <c r="S20" s="5"/>
      <c r="T20" s="5"/>
    </row>
    <row r="21" spans="1:20" x14ac:dyDescent="0.35">
      <c r="A21" s="5"/>
      <c r="B21" s="5"/>
      <c r="C21" s="5"/>
      <c r="D21" s="5"/>
      <c r="E21" s="5"/>
      <c r="F21" s="5"/>
      <c r="G21" s="5"/>
      <c r="H21" s="5"/>
      <c r="I21" s="5"/>
      <c r="J21" s="5"/>
      <c r="K21" s="5"/>
      <c r="L21" s="5"/>
      <c r="M21" s="5"/>
      <c r="N21" s="5"/>
      <c r="O21" s="5"/>
      <c r="P21" s="5"/>
      <c r="Q21" s="5"/>
      <c r="R21" s="5"/>
      <c r="S21" s="5"/>
      <c r="T21" s="5"/>
    </row>
    <row r="22" spans="1:20" x14ac:dyDescent="0.35">
      <c r="A22" s="5"/>
      <c r="B22" s="5"/>
      <c r="C22" s="5"/>
      <c r="D22" s="5"/>
      <c r="E22" s="5"/>
      <c r="F22" s="5"/>
      <c r="G22" s="5"/>
      <c r="H22" s="5"/>
      <c r="I22" s="5"/>
      <c r="J22" s="5"/>
      <c r="K22" s="5"/>
      <c r="L22" s="5"/>
      <c r="M22" s="5"/>
      <c r="N22" s="5"/>
      <c r="O22" s="5"/>
      <c r="P22" s="5"/>
      <c r="Q22" s="5"/>
      <c r="R22" s="5"/>
      <c r="S22" s="5"/>
      <c r="T22" s="5"/>
    </row>
    <row r="23" spans="1:20" x14ac:dyDescent="0.35">
      <c r="A23" s="5"/>
      <c r="B23" s="5"/>
      <c r="C23" s="5"/>
      <c r="D23" s="5"/>
      <c r="E23" s="5"/>
      <c r="F23" s="5"/>
      <c r="G23" s="5"/>
      <c r="H23" s="5"/>
      <c r="I23" s="5"/>
      <c r="J23" s="5"/>
      <c r="K23" s="5"/>
      <c r="L23" s="5"/>
      <c r="M23" s="5"/>
      <c r="N23" s="5"/>
      <c r="O23" s="5"/>
      <c r="P23" s="5"/>
      <c r="Q23" s="5"/>
      <c r="R23" s="5"/>
      <c r="S23" s="5"/>
      <c r="T23" s="5"/>
    </row>
    <row r="24" spans="1:20" x14ac:dyDescent="0.35">
      <c r="A24" s="5"/>
      <c r="B24" s="5"/>
      <c r="C24" s="5"/>
      <c r="D24" s="5"/>
      <c r="E24" s="5"/>
      <c r="F24" s="5"/>
      <c r="G24" s="5"/>
      <c r="H24" s="5"/>
      <c r="I24" s="5"/>
      <c r="J24" s="5"/>
      <c r="K24" s="5"/>
      <c r="L24" s="5"/>
      <c r="M24" s="5"/>
      <c r="N24" s="5"/>
      <c r="O24" s="5"/>
      <c r="P24" s="5"/>
      <c r="Q24" s="5"/>
      <c r="R24" s="5"/>
      <c r="S24" s="5"/>
      <c r="T24" s="5"/>
    </row>
    <row r="25" spans="1:20" x14ac:dyDescent="0.35">
      <c r="A25" s="5"/>
      <c r="B25" s="5"/>
      <c r="C25" s="5"/>
      <c r="D25" s="5"/>
      <c r="E25" s="5"/>
      <c r="F25" s="5"/>
      <c r="G25" s="5"/>
      <c r="H25" s="5"/>
      <c r="I25" s="5"/>
      <c r="J25" s="5"/>
      <c r="K25" s="5"/>
      <c r="L25" s="5"/>
      <c r="M25" s="5"/>
      <c r="N25" s="5"/>
      <c r="S25" s="5"/>
      <c r="T25" s="5"/>
    </row>
    <row r="26" spans="1:20" x14ac:dyDescent="0.35">
      <c r="A26" s="5"/>
      <c r="B26" s="5"/>
      <c r="C26" s="5"/>
      <c r="D26" s="5"/>
      <c r="E26" s="5"/>
      <c r="F26" s="5"/>
      <c r="G26" s="5"/>
      <c r="H26" s="5"/>
      <c r="I26" s="5"/>
      <c r="J26" s="5"/>
      <c r="K26" s="5"/>
      <c r="L26" s="5"/>
      <c r="M26" s="5"/>
      <c r="N26" s="5"/>
      <c r="T26" s="5"/>
    </row>
    <row r="27" spans="1:20" x14ac:dyDescent="0.35">
      <c r="A27" s="5"/>
      <c r="B27" s="5"/>
      <c r="C27" s="5"/>
      <c r="D27" s="5"/>
      <c r="E27" s="5"/>
      <c r="F27" s="5"/>
      <c r="G27" s="5"/>
      <c r="H27" s="5"/>
      <c r="I27" s="5"/>
      <c r="J27" s="5"/>
      <c r="K27" s="5"/>
      <c r="L27" s="5"/>
      <c r="M27" s="5"/>
      <c r="N27" s="5"/>
      <c r="O27" s="1" t="s">
        <v>51</v>
      </c>
      <c r="P27" s="1" t="s">
        <v>52</v>
      </c>
      <c r="Q27" t="s">
        <v>53</v>
      </c>
      <c r="R27" t="s">
        <v>54</v>
      </c>
      <c r="S27" t="s">
        <v>55</v>
      </c>
    </row>
    <row r="28" spans="1:20" x14ac:dyDescent="0.35">
      <c r="A28" s="5"/>
      <c r="B28" s="5"/>
      <c r="C28" s="5"/>
      <c r="D28" s="5"/>
      <c r="E28" s="5"/>
      <c r="F28" s="5"/>
      <c r="G28" s="5"/>
      <c r="H28" s="5"/>
      <c r="I28" s="5"/>
      <c r="J28" s="5"/>
      <c r="K28" s="5"/>
      <c r="L28" s="5"/>
      <c r="M28" s="5"/>
      <c r="N28" s="5"/>
      <c r="O28" t="s">
        <v>10</v>
      </c>
      <c r="P28" s="3">
        <v>1086436</v>
      </c>
      <c r="Q28" s="3">
        <v>278814</v>
      </c>
      <c r="R28" s="3">
        <v>218</v>
      </c>
      <c r="S28" s="3">
        <v>2319</v>
      </c>
    </row>
    <row r="29" spans="1:20" x14ac:dyDescent="0.35">
      <c r="A29" s="5"/>
      <c r="B29" s="5"/>
      <c r="C29" s="5"/>
      <c r="D29" s="5"/>
      <c r="E29" s="5"/>
      <c r="F29" s="5"/>
      <c r="G29" s="5"/>
      <c r="H29" s="5"/>
      <c r="I29" s="5"/>
      <c r="J29" s="5"/>
      <c r="K29" s="5"/>
      <c r="L29" s="5"/>
      <c r="M29" s="5"/>
      <c r="N29" s="5"/>
      <c r="O29" t="s">
        <v>11</v>
      </c>
      <c r="P29" s="3">
        <v>1091174</v>
      </c>
      <c r="Q29" s="3">
        <v>308706</v>
      </c>
      <c r="R29" s="3">
        <v>200</v>
      </c>
      <c r="S29" s="3">
        <v>2145</v>
      </c>
    </row>
    <row r="30" spans="1:20" x14ac:dyDescent="0.35">
      <c r="A30" s="5"/>
      <c r="B30" s="5"/>
      <c r="C30" s="5"/>
      <c r="D30" s="5"/>
      <c r="E30" s="5"/>
      <c r="F30" s="5"/>
      <c r="G30" s="5"/>
      <c r="H30" s="5"/>
      <c r="I30" s="5"/>
      <c r="J30" s="5"/>
      <c r="K30" s="5"/>
      <c r="L30" s="5"/>
      <c r="M30" s="5"/>
      <c r="N30" s="5"/>
      <c r="O30" t="s">
        <v>12</v>
      </c>
      <c r="P30" s="3">
        <v>978738</v>
      </c>
      <c r="Q30" s="3">
        <v>240372</v>
      </c>
      <c r="R30" s="3">
        <v>181</v>
      </c>
      <c r="S30" s="3">
        <v>1820</v>
      </c>
    </row>
    <row r="31" spans="1:20" x14ac:dyDescent="0.35">
      <c r="O31" t="s">
        <v>13</v>
      </c>
      <c r="P31" s="3">
        <v>1130048</v>
      </c>
      <c r="Q31" s="3">
        <v>308506</v>
      </c>
      <c r="R31" s="3">
        <v>226</v>
      </c>
      <c r="S31" s="3">
        <v>2479</v>
      </c>
    </row>
    <row r="32" spans="1:20" x14ac:dyDescent="0.35">
      <c r="O32" t="s">
        <v>15</v>
      </c>
      <c r="P32" s="3">
        <v>1011475</v>
      </c>
      <c r="Q32" s="3">
        <v>257780</v>
      </c>
      <c r="R32" s="3">
        <v>189</v>
      </c>
      <c r="S32" s="3">
        <v>1941</v>
      </c>
    </row>
    <row r="34" spans="1:20" x14ac:dyDescent="0.35">
      <c r="A34" s="5"/>
      <c r="B34" s="5"/>
      <c r="C34" s="5"/>
      <c r="D34" s="5"/>
      <c r="E34" s="5"/>
      <c r="F34" s="5"/>
      <c r="G34" s="5"/>
      <c r="H34" s="5"/>
      <c r="I34" s="5"/>
      <c r="J34" s="5"/>
      <c r="K34" s="5"/>
      <c r="L34" s="5"/>
      <c r="M34" s="5"/>
      <c r="N34" s="5"/>
      <c r="T34" s="5"/>
    </row>
    <row r="35" spans="1:20" x14ac:dyDescent="0.35">
      <c r="A35" s="5"/>
      <c r="B35" s="5"/>
      <c r="C35" s="5"/>
      <c r="D35" s="5"/>
      <c r="E35" s="5"/>
      <c r="F35" s="5"/>
      <c r="G35" s="5"/>
      <c r="H35" s="5"/>
      <c r="I35" s="5"/>
      <c r="J35" s="5"/>
      <c r="K35" s="5"/>
      <c r="L35" s="5"/>
      <c r="M35" s="5"/>
      <c r="N35" s="5"/>
      <c r="T35" s="5"/>
    </row>
    <row r="36" spans="1:20" x14ac:dyDescent="0.35">
      <c r="A36" s="5"/>
      <c r="B36" s="5"/>
      <c r="C36" s="5"/>
      <c r="D36" s="5"/>
      <c r="E36" s="5"/>
      <c r="F36" s="5"/>
      <c r="G36" s="5"/>
      <c r="H36" s="5"/>
      <c r="I36" s="5"/>
      <c r="J36" s="5"/>
      <c r="K36" s="5"/>
      <c r="L36" s="5"/>
      <c r="M36" s="5"/>
      <c r="N36" s="5"/>
      <c r="S36" s="7"/>
      <c r="T36" s="5"/>
    </row>
    <row r="37" spans="1:20" x14ac:dyDescent="0.35">
      <c r="A37" s="5"/>
      <c r="B37" s="5"/>
      <c r="C37" s="5"/>
      <c r="D37" s="5"/>
      <c r="E37" s="5"/>
      <c r="F37" s="5"/>
      <c r="G37" s="5"/>
      <c r="H37" s="5"/>
      <c r="I37" s="5"/>
      <c r="J37" s="5"/>
      <c r="K37" s="5"/>
      <c r="L37" s="5"/>
      <c r="M37" s="5"/>
      <c r="N37" s="5"/>
      <c r="S37" s="7"/>
      <c r="T37" s="5"/>
    </row>
    <row r="38" spans="1:20" x14ac:dyDescent="0.35">
      <c r="A38" s="5"/>
      <c r="B38" s="5"/>
      <c r="C38" s="5"/>
      <c r="D38" s="5"/>
      <c r="E38" s="5"/>
      <c r="F38" s="5"/>
      <c r="G38" s="5"/>
      <c r="H38" s="5"/>
      <c r="I38" s="5"/>
      <c r="J38" s="5"/>
      <c r="K38" s="5"/>
      <c r="L38" s="5"/>
      <c r="M38" s="5"/>
      <c r="N38" s="5"/>
      <c r="S38" s="7"/>
      <c r="T38" s="5"/>
    </row>
    <row r="39" spans="1:20" x14ac:dyDescent="0.35">
      <c r="A39" s="5"/>
      <c r="B39" s="5"/>
      <c r="C39" s="5"/>
      <c r="D39" s="5"/>
      <c r="E39" s="5"/>
      <c r="F39" s="5"/>
      <c r="G39" s="5"/>
      <c r="H39" s="5"/>
      <c r="I39" s="5"/>
      <c r="J39" s="5"/>
      <c r="K39" s="5"/>
      <c r="L39" s="5"/>
      <c r="M39" s="5"/>
      <c r="N39" s="5"/>
      <c r="S39" s="7"/>
      <c r="T39" s="5"/>
    </row>
    <row r="40" spans="1:20" x14ac:dyDescent="0.35">
      <c r="A40" s="5"/>
      <c r="B40" s="5"/>
      <c r="C40" s="5"/>
      <c r="D40" s="5"/>
      <c r="E40" s="5"/>
      <c r="F40" s="5"/>
      <c r="G40" s="5"/>
      <c r="H40" s="5"/>
      <c r="I40" s="5"/>
      <c r="J40" s="5"/>
      <c r="K40" s="5"/>
      <c r="L40" s="5"/>
      <c r="M40" s="5"/>
      <c r="N40" s="5"/>
      <c r="S40" s="7"/>
      <c r="T40" s="5"/>
    </row>
    <row r="41" spans="1:20" x14ac:dyDescent="0.35">
      <c r="A41" s="5"/>
      <c r="B41" s="5"/>
      <c r="C41" s="5"/>
      <c r="D41" s="5"/>
      <c r="E41" s="5"/>
      <c r="F41" s="5"/>
      <c r="G41" s="5"/>
      <c r="H41" s="5"/>
      <c r="I41" s="5"/>
      <c r="J41" s="5"/>
      <c r="K41" s="5"/>
      <c r="L41" s="5"/>
      <c r="M41" s="5"/>
      <c r="N41" s="5"/>
      <c r="O41" s="5"/>
      <c r="P41" s="5"/>
      <c r="Q41" s="5"/>
      <c r="R41" s="5"/>
      <c r="S41" s="5"/>
      <c r="T41" s="5"/>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C254F65-235C-47BD-AB7A-F0BF6A773581}">
  <ds:schemaRefs>
    <ds:schemaRef ds:uri="http://schemas.microsoft.com/DataMashup"/>
  </ds:schemaRefs>
</ds:datastoreItem>
</file>

<file path=customXml/itemProps2.xml><?xml version="1.0" encoding="utf-8"?>
<ds:datastoreItem xmlns:ds="http://schemas.openxmlformats.org/officeDocument/2006/customXml" ds:itemID="{2F5F272D-F835-45C4-9631-8CABEA399CD3}">
  <ds:schemaRefs/>
</ds:datastoreItem>
</file>

<file path=customXml/itemProps3.xml><?xml version="1.0" encoding="utf-8"?>
<ds:datastoreItem xmlns:ds="http://schemas.openxmlformats.org/officeDocument/2006/customXml" ds:itemID="{89F7044B-755A-4AA3-A9C9-AB02F3F48504}">
  <ds:schemaRefs/>
</ds:datastoreItem>
</file>

<file path=customXml/itemProps4.xml><?xml version="1.0" encoding="utf-8"?>
<ds:datastoreItem xmlns:ds="http://schemas.openxmlformats.org/officeDocument/2006/customXml" ds:itemID="{2B7D81C7-B125-48C9-8E0D-46C77E3BAA42}">
  <ds:schemaRefs/>
</ds:datastoreItem>
</file>

<file path=customXml/itemProps5.xml><?xml version="1.0" encoding="utf-8"?>
<ds:datastoreItem xmlns:ds="http://schemas.openxmlformats.org/officeDocument/2006/customXml" ds:itemID="{416751CE-07FD-4C7D-8358-FB9E8BE42CA1}">
  <ds:schemaRefs/>
</ds:datastoreItem>
</file>

<file path=customXml/itemProps6.xml><?xml version="1.0" encoding="utf-8"?>
<ds:datastoreItem xmlns:ds="http://schemas.openxmlformats.org/officeDocument/2006/customXml" ds:itemID="{0EFD003B-B537-4EB8-8555-57CD643FEFDE}">
  <ds:schemaRefs/>
</ds:datastoreItem>
</file>

<file path=customXml/itemProps7.xml><?xml version="1.0" encoding="utf-8"?>
<ds:datastoreItem xmlns:ds="http://schemas.openxmlformats.org/officeDocument/2006/customXml" ds:itemID="{C5D5DBF5-5A8C-45DE-864B-18A7D64E02BB}">
  <ds:schemaRefs/>
</ds:datastoreItem>
</file>

<file path=customXml/itemProps8.xml><?xml version="1.0" encoding="utf-8"?>
<ds:datastoreItem xmlns:ds="http://schemas.openxmlformats.org/officeDocument/2006/customXml" ds:itemID="{AA2BFC7A-8868-4912-B238-872B9BCA2548}">
  <ds:schemaRefs/>
</ds:datastoreItem>
</file>

<file path=customXml/itemProps9.xml><?xml version="1.0" encoding="utf-8"?>
<ds:datastoreItem xmlns:ds="http://schemas.openxmlformats.org/officeDocument/2006/customXml" ds:itemID="{8AFEB004-3135-4109-B4A0-CF7035C678C7}">
  <ds:schemaRefs/>
</ds:datastoreItem>
</file>

<file path=customXml/itemProps10.xml><?xml version="1.0" encoding="utf-8"?>
<ds:datastoreItem xmlns:ds="http://schemas.openxmlformats.org/officeDocument/2006/customXml" ds:itemID="{8D854F48-BE20-4EF6-A53E-AC6C7A818BED}">
  <ds:schemaRefs/>
</ds:datastoreItem>
</file>

<file path=customXml/itemProps11.xml><?xml version="1.0" encoding="utf-8"?>
<ds:datastoreItem xmlns:ds="http://schemas.openxmlformats.org/officeDocument/2006/customXml" ds:itemID="{E58B8DF8-38E8-4A24-A979-0121CA3DAD29}">
  <ds:schemaRefs/>
</ds:datastoreItem>
</file>

<file path=customXml/itemProps12.xml><?xml version="1.0" encoding="utf-8"?>
<ds:datastoreItem xmlns:ds="http://schemas.openxmlformats.org/officeDocument/2006/customXml" ds:itemID="{ED35D384-B0B1-43C5-A48E-6C325A640D55}">
  <ds:schemaRefs/>
</ds:datastoreItem>
</file>

<file path=customXml/itemProps13.xml><?xml version="1.0" encoding="utf-8"?>
<ds:datastoreItem xmlns:ds="http://schemas.openxmlformats.org/officeDocument/2006/customXml" ds:itemID="{3CB84AD1-4E92-4AE7-8227-E1AEC70DEF44}">
  <ds:schemaRefs/>
</ds:datastoreItem>
</file>

<file path=customXml/itemProps14.xml><?xml version="1.0" encoding="utf-8"?>
<ds:datastoreItem xmlns:ds="http://schemas.openxmlformats.org/officeDocument/2006/customXml" ds:itemID="{956A5A4D-3BEC-4111-BADF-5D54C857A045}">
  <ds:schemaRefs/>
</ds:datastoreItem>
</file>

<file path=customXml/itemProps15.xml><?xml version="1.0" encoding="utf-8"?>
<ds:datastoreItem xmlns:ds="http://schemas.openxmlformats.org/officeDocument/2006/customXml" ds:itemID="{2235F2B7-E094-434B-801C-68270A2FDD0D}">
  <ds:schemaRefs/>
</ds:datastoreItem>
</file>

<file path=customXml/itemProps16.xml><?xml version="1.0" encoding="utf-8"?>
<ds:datastoreItem xmlns:ds="http://schemas.openxmlformats.org/officeDocument/2006/customXml" ds:itemID="{58D02601-7D51-4BC1-999D-317BD8A2B0D4}">
  <ds:schemaRefs/>
</ds:datastoreItem>
</file>

<file path=customXml/itemProps17.xml><?xml version="1.0" encoding="utf-8"?>
<ds:datastoreItem xmlns:ds="http://schemas.openxmlformats.org/officeDocument/2006/customXml" ds:itemID="{4DBB9130-C6A2-4B79-A3B9-E60BB596DC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negi</dc:creator>
  <cp:lastModifiedBy>priyanka negi</cp:lastModifiedBy>
  <dcterms:created xsi:type="dcterms:W3CDTF">2026-08-19T11:00:06Z</dcterms:created>
  <dcterms:modified xsi:type="dcterms:W3CDTF">2026-08-19T17:31:51Z</dcterms:modified>
</cp:coreProperties>
</file>